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Y:\04.03-Automação - Area de Trabalho\_PROCESSO\VOTORANTIM BRASIL\20V093E - VOT - Proj. Detalhado Nova Moagem de Cimento – Edealina\LI\"/>
    </mc:Choice>
  </mc:AlternateContent>
  <xr:revisionPtr revIDLastSave="0" documentId="13_ncr:1_{92207378-1801-42FB-9C4A-962DBED43FC4}" xr6:coauthVersionLast="47" xr6:coauthVersionMax="47" xr10:uidLastSave="{00000000-0000-0000-0000-000000000000}"/>
  <bookViews>
    <workbookView xWindow="28680" yWindow="-120" windowWidth="29040" windowHeight="15840" tabRatio="876" xr2:uid="{00000000-000D-0000-FFFF-FFFF00000000}"/>
  </bookViews>
  <sheets>
    <sheet name="CAPA" sheetId="3" r:id="rId1"/>
    <sheet name="ADITIVOS" sheetId="7" r:id="rId2"/>
    <sheet name="MOAGEM DE CIMENTO" sheetId="12" r:id="rId3"/>
    <sheet name="TRANSPORTE" sheetId="9" r:id="rId4"/>
  </sheets>
  <externalReferences>
    <externalReference r:id="rId5"/>
  </externalReferences>
  <definedNames>
    <definedName name="__Anonymous_Sheet_DB__1" localSheetId="2">#REF!</definedName>
    <definedName name="__Anonymous_Sheet_DB__1">#REF!</definedName>
    <definedName name="__Anonymous_Sheet_DB__1_1" localSheetId="2">#REF!</definedName>
    <definedName name="__Anonymous_Sheet_DB__1_1">#REF!</definedName>
    <definedName name="__Anonymous_Sheet_DB__1_2" localSheetId="0">'[1]Lista de Instrumentos'!#REF!</definedName>
    <definedName name="__Anonymous_Sheet_DB__1_2" localSheetId="2">#REF!</definedName>
    <definedName name="__Anonymous_Sheet_DB__1_2">#REF!</definedName>
    <definedName name="__Anonymous_Sheet_DB__1_3" localSheetId="2">#REF!</definedName>
    <definedName name="__Anonymous_Sheet_DB__1_3">#REF!</definedName>
    <definedName name="_xlnm._FilterDatabase" localSheetId="1" hidden="1">ADITIVOS!$A$5:$S$54</definedName>
    <definedName name="_xlnm._FilterDatabase" localSheetId="2" hidden="1">'MOAGEM DE CIMENTO'!$A$5:$S$297</definedName>
    <definedName name="_xlnm._FilterDatabase" localSheetId="3" hidden="1">TRANSPORTE!$A$5:$S$100</definedName>
    <definedName name="_xlnm.Print_Area" localSheetId="1">ADITIVOS!$A$1:$S$54</definedName>
    <definedName name="_xlnm.Print_Area" localSheetId="0">CAPA!#REF!</definedName>
    <definedName name="_xlnm.Print_Area" localSheetId="2">'MOAGEM DE CIMENTO'!$A$1:$S$303</definedName>
    <definedName name="_xlnm.Print_Area" localSheetId="3">TRANSPORTE!$A$1:$S$100</definedName>
    <definedName name="Excel_BuiltIn__FilterDatabase_1" localSheetId="2">#REF!</definedName>
    <definedName name="Excel_BuiltIn__FilterDatabase_1">#REF!</definedName>
    <definedName name="Excel_BuiltIn__FilterDatabase_2" localSheetId="0">'[1]Lista de Instrumentos'!#REF!</definedName>
    <definedName name="Excel_BuiltIn__FilterDatabase_2">#REF!</definedName>
    <definedName name="Excel_BuiltIn__FilterDatabase_2_1" localSheetId="0">'[1]Lista de Instrumentos'!#REF!</definedName>
    <definedName name="Excel_BuiltIn__FilterDatabase_2_1">#REF!</definedName>
    <definedName name="_xlnm.Print_Titles" localSheetId="1">ADITIVOS!$5:$5</definedName>
    <definedName name="_xlnm.Print_Titles" localSheetId="2">'MOAGEM DE CIMENTO'!$1:$5</definedName>
    <definedName name="_xlnm.Print_Titles" localSheetId="3">TRANSPORTE!$1:$5</definedName>
  </definedName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26" i="9" l="1"/>
  <c r="A27" i="9"/>
  <c r="A28" i="9"/>
  <c r="A29" i="9"/>
  <c r="A30" i="9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7" i="12" l="1"/>
  <c r="I1" i="9" l="1"/>
  <c r="N1" i="9"/>
  <c r="N3" i="9"/>
  <c r="N4" i="9"/>
  <c r="A7" i="7" l="1"/>
  <c r="A8" i="7" s="1"/>
  <c r="A9" i="7" s="1"/>
  <c r="A10" i="7" l="1"/>
  <c r="A11" i="7" s="1"/>
  <c r="A12" i="7" s="1"/>
  <c r="A13" i="7" s="1"/>
  <c r="A14" i="7" s="1"/>
  <c r="A15" i="7" s="1"/>
  <c r="A16" i="7" s="1"/>
  <c r="A17" i="7" s="1"/>
  <c r="A18" i="7" s="1"/>
  <c r="A19" i="7" s="1"/>
  <c r="Q24" i="3"/>
  <c r="S3" i="12" s="1"/>
  <c r="K24" i="3"/>
  <c r="S4" i="9" l="1"/>
  <c r="S4" i="7"/>
  <c r="O38" i="3"/>
  <c r="S3" i="9"/>
  <c r="N1" i="7"/>
  <c r="N4" i="7" l="1"/>
  <c r="S3" i="7"/>
  <c r="N3" i="7"/>
  <c r="I1" i="7"/>
  <c r="I1" i="12"/>
  <c r="N1" i="12"/>
  <c r="N3" i="12"/>
  <c r="N4" i="12"/>
  <c r="S4" i="12"/>
  <c r="A38" i="3" l="1"/>
  <c r="A20" i="7" l="1"/>
  <c r="A21" i="7" s="1"/>
  <c r="A22" i="7" s="1"/>
  <c r="A7" i="9"/>
  <c r="A8" i="9" l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3" i="7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25" i="9" l="1"/>
</calcChain>
</file>

<file path=xl/sharedStrings.xml><?xml version="1.0" encoding="utf-8"?>
<sst xmlns="http://schemas.openxmlformats.org/spreadsheetml/2006/main" count="6480" uniqueCount="1334">
  <si>
    <t>REV.</t>
  </si>
  <si>
    <t>-</t>
  </si>
  <si>
    <t>REVISÃO:</t>
  </si>
  <si>
    <t>DATA</t>
  </si>
  <si>
    <t>REVISÕES</t>
  </si>
  <si>
    <t>Nº</t>
  </si>
  <si>
    <t>DESCRIÇÃO</t>
  </si>
  <si>
    <t>TIPO</t>
  </si>
  <si>
    <t>PROJETADO</t>
  </si>
  <si>
    <t>VERIFICADO</t>
  </si>
  <si>
    <t>APROVADO</t>
  </si>
  <si>
    <t>GBA</t>
  </si>
  <si>
    <t>TIPO DE EMISSÃO</t>
  </si>
  <si>
    <t>(A) PRELIMINAR</t>
  </si>
  <si>
    <t>(D) PARA CONSTRUÇÃO</t>
  </si>
  <si>
    <t>(G) CANCELADO</t>
  </si>
  <si>
    <t>(B) PARA APROVAÇÃO</t>
  </si>
  <si>
    <t>(E) CONFORME CONSTRUÍDO</t>
  </si>
  <si>
    <t>(H) PARA COTAÇÃO</t>
  </si>
  <si>
    <t>(C) PARA CONHECIMENTO</t>
  </si>
  <si>
    <t>(F) APROVADO</t>
  </si>
  <si>
    <t>(I) CONFORME COMPRADO</t>
  </si>
  <si>
    <t>TÍTULO DO DOCUMENTO:</t>
  </si>
  <si>
    <t>DATA:</t>
  </si>
  <si>
    <t>APROVADO POR:</t>
  </si>
  <si>
    <t>Nº CLIENTE:</t>
  </si>
  <si>
    <t>GIANCARLO BORGES AVELAR</t>
  </si>
  <si>
    <t>PRESSOSTATO</t>
  </si>
  <si>
    <t>B</t>
  </si>
  <si>
    <t>CHAVE DE NÍVEL</t>
  </si>
  <si>
    <t>TRANSMISSOR DE NÍVEL</t>
  </si>
  <si>
    <t>TRANSMISSOR DE PRESSÃO</t>
  </si>
  <si>
    <t>AM</t>
  </si>
  <si>
    <t>EMISSÃO INICIAL</t>
  </si>
  <si>
    <t>LISTA DE INSTRUMENTOS</t>
  </si>
  <si>
    <t>EQUIPAMENTO</t>
  </si>
  <si>
    <t>ITEM</t>
  </si>
  <si>
    <t>FUNÇÃO</t>
  </si>
  <si>
    <t>INSTRUMENTO</t>
  </si>
  <si>
    <t>TIPO DE SINAL</t>
  </si>
  <si>
    <t>RANGE MÁXIMO</t>
  </si>
  <si>
    <t>FABRICANTE</t>
  </si>
  <si>
    <t>MODELO</t>
  </si>
  <si>
    <t>QT</t>
  </si>
  <si>
    <t>FORNECEDOR</t>
  </si>
  <si>
    <t>FOLHA DE DADOS</t>
  </si>
  <si>
    <t>COMENTÁRIOS</t>
  </si>
  <si>
    <t>MATERIAL PARA MONTAGEM</t>
  </si>
  <si>
    <t>120Vca</t>
  </si>
  <si>
    <t>SENSOR INDUTIVO DE PROXIMIDADE</t>
  </si>
  <si>
    <t>VÁLVULA SOLENOIDE</t>
  </si>
  <si>
    <t>PAINEL DA BALANÇA DOSADORA</t>
  </si>
  <si>
    <t>SINOMA</t>
  </si>
  <si>
    <t>CLIENTE:</t>
  </si>
  <si>
    <t>TÍTULO:</t>
  </si>
  <si>
    <t xml:space="preserve"> PROJETO:</t>
  </si>
  <si>
    <t>Nº. SM&amp;A:</t>
  </si>
  <si>
    <t>Nº. CLIENTE:</t>
  </si>
  <si>
    <t>VERIFICADO:</t>
  </si>
  <si>
    <t>FOLHA:</t>
  </si>
  <si>
    <t xml:space="preserve"> DATA: </t>
  </si>
  <si>
    <t>ALEXANDRE MANDUCA</t>
  </si>
  <si>
    <t>FIM DE CURSO</t>
  </si>
  <si>
    <t>POSIÇÃO</t>
  </si>
  <si>
    <t>VIGIA DE VELOCIDADE</t>
  </si>
  <si>
    <t>VOTORANTIM</t>
  </si>
  <si>
    <t>NÍVEL ALTO</t>
  </si>
  <si>
    <t>PROGRAMADOR DO FILTRO DE MANGAS</t>
  </si>
  <si>
    <t>PAINEL LOCAL</t>
  </si>
  <si>
    <t>SIRENE</t>
  </si>
  <si>
    <t>ALARME</t>
  </si>
  <si>
    <t>FLUXOSTATO</t>
  </si>
  <si>
    <t>FLUXO BAIXO</t>
  </si>
  <si>
    <t>NÍVEL DO CHUTE</t>
  </si>
  <si>
    <t>POSIÇÃO ABERTA</t>
  </si>
  <si>
    <t>POSIÇÃO FECHADA</t>
  </si>
  <si>
    <t>ATUADOR ELÉTRICO</t>
  </si>
  <si>
    <t>LISTA DE INSTRUMENTO 
TRANSPORTE DE CIMENTO</t>
  </si>
  <si>
    <t>APROVADO:</t>
  </si>
  <si>
    <t>QTY</t>
  </si>
  <si>
    <t>TERMOSTATO</t>
  </si>
  <si>
    <t>NÍVEL BAIXO DE ÁGUA</t>
  </si>
  <si>
    <t xml:space="preserve">TRANSMISSOR DE VAZÃO </t>
  </si>
  <si>
    <t>4-20 mA</t>
  </si>
  <si>
    <t>COMANDO ABRE / FECHA</t>
  </si>
  <si>
    <t>NÍVEL DE ENCHIMENTO DO MOINHO</t>
  </si>
  <si>
    <t>PRESSÃO DE ENTRADA DO MOINHO</t>
  </si>
  <si>
    <t>PRESSÃO DE SAÍDA DO MOINHO</t>
  </si>
  <si>
    <t>PT-100</t>
  </si>
  <si>
    <t>RESISTÊNCIA</t>
  </si>
  <si>
    <t>TEMPERATURA TABIQUE DO MOINHO</t>
  </si>
  <si>
    <t>TRANSMISSOR DE VIBRAÇÃO</t>
  </si>
  <si>
    <t>25 mm/s</t>
  </si>
  <si>
    <t>IFM</t>
  </si>
  <si>
    <t>VTV122</t>
  </si>
  <si>
    <t>GIRO LENTO DESACOPLADO</t>
  </si>
  <si>
    <t xml:space="preserve">FLUXO DE ÁGUA 
SISTEMA DE ARREFECIMENTO </t>
  </si>
  <si>
    <t>FLUXO DE ÓLEO</t>
  </si>
  <si>
    <t>PRESSÃO DA LINHA DE ÓLEO</t>
  </si>
  <si>
    <t>TEMPERATURA DO ÓLEO DO TANQUE</t>
  </si>
  <si>
    <t>TEMPERATURA DA LINHA DE ÓLEO</t>
  </si>
  <si>
    <t>PRESSÃO DE ENTRADA DO FILTRO DE MANGAS</t>
  </si>
  <si>
    <t>PRESSÃO DE SAÍDA DO FILTRO DE MANGAS</t>
  </si>
  <si>
    <t>PRESSÃO DE AR LIMPEZA MANGAS DO FILTRO</t>
  </si>
  <si>
    <t>TEMPERATURA DE ENTRADA DO FILTRO DE MANGAS</t>
  </si>
  <si>
    <t>TEMPERATURA DE SAÍDA DO FILTRO DE MANGAS</t>
  </si>
  <si>
    <t>TEMPERATURA ENROLAMENTO DO ESTATOR DO MOTOR - FASE R1</t>
  </si>
  <si>
    <t>TEMPERATURA ENROLAMENTO DO ESTATOR DO MOTOR - FASE S1</t>
  </si>
  <si>
    <t>TEMPERATURA ENROLAMENTO DO ESTATOR DO MOTOR - FASE T1</t>
  </si>
  <si>
    <t>VIBRAÇÃO MANCAL 
DO MOTOR L.A - RADIAL</t>
  </si>
  <si>
    <t>VIBRAÇÃO MANCAL 
DO MOTOR L.O.A</t>
  </si>
  <si>
    <t>FALHA</t>
  </si>
  <si>
    <t>RANGE 
MÍNIMO</t>
  </si>
  <si>
    <t>0°C</t>
  </si>
  <si>
    <t>SETPOINT</t>
  </si>
  <si>
    <t>TRANSMISSOR DE POSIÇÃO</t>
  </si>
  <si>
    <t>DESALINHAMENTO 
LADO TRAÇÃO</t>
  </si>
  <si>
    <t>DESVIO PARA MOINHO</t>
  </si>
  <si>
    <t>TEMPERATURA MANCAL DO VENTILADOR - L.A</t>
  </si>
  <si>
    <t>TEMPERATURA MANCAL DO VENTILADOR - L.O.A</t>
  </si>
  <si>
    <t>VIBRAÇÃO MANCAL 
DO MOTOR L.A - AXIAL</t>
  </si>
  <si>
    <t>TEMPERATURA MANCAL DO MOTOR - L.A</t>
  </si>
  <si>
    <t>TEMPERATURA MANCAL DO MOTOR - L.O.A</t>
  </si>
  <si>
    <t>PRESSÃO BAIXA LINHA DE AR</t>
  </si>
  <si>
    <t>DESALINHAMENTO 
LADO RETORNO</t>
  </si>
  <si>
    <t>EMERGÊNCIA 
LADO ESQUERDO</t>
  </si>
  <si>
    <t>LISTA DE INSTRUMENTO 
ADITIVOS</t>
  </si>
  <si>
    <t>TEMPERATURA ENROLAMENTO DO ESTATOR DO MOTOR - FASE R</t>
  </si>
  <si>
    <t>TEMPERATURA ENROLAMENTO DO ESTATOR DO MOTOR - FASE S</t>
  </si>
  <si>
    <t>TEMPERATURA ENROLAMENTO DO ESTATOR DO MOTOR - FASE T</t>
  </si>
  <si>
    <t>TAG VC</t>
  </si>
  <si>
    <t>TAG SINOMA</t>
  </si>
  <si>
    <t>CHAVE DE EMERGÊNCIA
DE CORDA</t>
  </si>
  <si>
    <t>551BF01.PS1</t>
  </si>
  <si>
    <t>551RF01.SS1</t>
  </si>
  <si>
    <t>551WF01.FZ1</t>
  </si>
  <si>
    <t>551WF02.FZ1</t>
  </si>
  <si>
    <t>551WF03.FZ1</t>
  </si>
  <si>
    <t>551BC01.SS1</t>
  </si>
  <si>
    <t>551BC01.DS3~4</t>
  </si>
  <si>
    <t>551BC01.DS1~2</t>
  </si>
  <si>
    <t>551BC02.SS1</t>
  </si>
  <si>
    <t>551BC02.DS3~4</t>
  </si>
  <si>
    <t>PRESSOSTATO DIFERENCIAL</t>
  </si>
  <si>
    <t>TEMPERATURA MANCAL DO MOTOR DO VENTILADOR - L.A</t>
  </si>
  <si>
    <t>TEMPERATURA MANCAL DO MOTOR DO VENTILADOR - L.O.A</t>
  </si>
  <si>
    <t>VIBRAÇÃO MANCAL DO MOTOR - L.O.A</t>
  </si>
  <si>
    <t>VIBRAÇÃO MANCAL DO MOTOR - L.A</t>
  </si>
  <si>
    <t>DESALINHAMENTO 
TOPO DO ELEVADOR</t>
  </si>
  <si>
    <t>DESALINHAMENTO 
PÉ DO ELEVADOR</t>
  </si>
  <si>
    <t>571BE01.SS1</t>
  </si>
  <si>
    <t>571BE02.SS1</t>
  </si>
  <si>
    <t>571BE01.TS1</t>
  </si>
  <si>
    <t>571WS01.LS1</t>
  </si>
  <si>
    <t>571BM01.XZ1</t>
  </si>
  <si>
    <t>571BM01.PZ1</t>
  </si>
  <si>
    <t>571BM01.PZ2</t>
  </si>
  <si>
    <t>571AD01.TE1</t>
  </si>
  <si>
    <t>571AD01.TE2</t>
  </si>
  <si>
    <t>571AD01.TE3</t>
  </si>
  <si>
    <t>571AD01.TE4</t>
  </si>
  <si>
    <t>571AD01.TE5</t>
  </si>
  <si>
    <t>571AD01.TE6</t>
  </si>
  <si>
    <t>571AD01.VZ1</t>
  </si>
  <si>
    <t>571BL01.ZS1</t>
  </si>
  <si>
    <t>571BL01.ZS2</t>
  </si>
  <si>
    <t>571BL01.ZS3</t>
  </si>
  <si>
    <t>571BL01.ZS4</t>
  </si>
  <si>
    <t>571BL01.ZS5</t>
  </si>
  <si>
    <t>571BL01.ZS6</t>
  </si>
  <si>
    <t>571BL01.ZS7</t>
  </si>
  <si>
    <t>571BL01.ZS8</t>
  </si>
  <si>
    <t>571BM01.TEG</t>
  </si>
  <si>
    <t>571BM01.VZ1</t>
  </si>
  <si>
    <t>571BM01.VZ2</t>
  </si>
  <si>
    <t>571BM01AD01.TS1~3</t>
  </si>
  <si>
    <t>571BM01AD01.ZS1</t>
  </si>
  <si>
    <t>571LQ01.PS1</t>
  </si>
  <si>
    <t>571LQ01.PZ2</t>
  </si>
  <si>
    <t>571LQ01.TE1</t>
  </si>
  <si>
    <t>571LQ01.TE2</t>
  </si>
  <si>
    <t>571LQ02.PS1</t>
  </si>
  <si>
    <t>571LQ02.PZ1</t>
  </si>
  <si>
    <t>571LQ02.PZ2</t>
  </si>
  <si>
    <t>571LQ02.TE1</t>
  </si>
  <si>
    <t>571LQ02.TE2</t>
  </si>
  <si>
    <t>571LQ03.PS1</t>
  </si>
  <si>
    <t>571LQ03.PZ1</t>
  </si>
  <si>
    <t>571LQ03.TE1</t>
  </si>
  <si>
    <t>571LQ03.TE2</t>
  </si>
  <si>
    <t>571BM01.TE1</t>
  </si>
  <si>
    <t>571BM01.TE2</t>
  </si>
  <si>
    <t>571BM01.TE3</t>
  </si>
  <si>
    <t>571BM01.TE4</t>
  </si>
  <si>
    <t>571BM01.TE5</t>
  </si>
  <si>
    <t>571BM01.TE6</t>
  </si>
  <si>
    <t>571BM01.TE7</t>
  </si>
  <si>
    <t>571BM01.TE8</t>
  </si>
  <si>
    <t>571BF02.LS1</t>
  </si>
  <si>
    <t>571BF02.PZ3</t>
  </si>
  <si>
    <t>571BF02.PZ2</t>
  </si>
  <si>
    <t>571BF02.PZ1</t>
  </si>
  <si>
    <t>571BF02.PZ4</t>
  </si>
  <si>
    <t>571BF02.UZ1</t>
  </si>
  <si>
    <t>571BF02.TE1</t>
  </si>
  <si>
    <t>571FN02.TE3~4</t>
  </si>
  <si>
    <t>571FN02.TE5~6</t>
  </si>
  <si>
    <t>571FN02.TE7~8</t>
  </si>
  <si>
    <t>571FN02.TE9</t>
  </si>
  <si>
    <t>571FN02.TEA</t>
  </si>
  <si>
    <t>571FN02.TE1</t>
  </si>
  <si>
    <t>571FN02.TE2</t>
  </si>
  <si>
    <t>571DA02.ZZ1</t>
  </si>
  <si>
    <t>571BF01.LS1</t>
  </si>
  <si>
    <t>571BF01.LS2</t>
  </si>
  <si>
    <t>571BF01.PZ3</t>
  </si>
  <si>
    <t>571BF01.PZ1</t>
  </si>
  <si>
    <t>571BF01.PZ2</t>
  </si>
  <si>
    <t>571BF01.PZ4</t>
  </si>
  <si>
    <t>571BF01.UZ1</t>
  </si>
  <si>
    <t>571BF01.TE1</t>
  </si>
  <si>
    <t>571FN01.TE3~4</t>
  </si>
  <si>
    <t>571FN01.TE5~6</t>
  </si>
  <si>
    <t>571FN01.TE7~8</t>
  </si>
  <si>
    <t>571FN01.TE9</t>
  </si>
  <si>
    <t>571FN01.TEA</t>
  </si>
  <si>
    <t>571FN01.VZ1</t>
  </si>
  <si>
    <t>571FN01.TE1</t>
  </si>
  <si>
    <t>571FN01.TE2</t>
  </si>
  <si>
    <t>571FN01.VZ2</t>
  </si>
  <si>
    <t>571DA01.ZZ1</t>
  </si>
  <si>
    <t>571LQ04.PS1</t>
  </si>
  <si>
    <t>571LQ04.LS1</t>
  </si>
  <si>
    <t>571RF01.SS1</t>
  </si>
  <si>
    <t>571RF02.SS1</t>
  </si>
  <si>
    <t>611BE01.LS1</t>
  </si>
  <si>
    <t>611BE01.SS1</t>
  </si>
  <si>
    <t>611BE01.M2.SS1</t>
  </si>
  <si>
    <t>611BE01.TS1</t>
  </si>
  <si>
    <t>571SC01.SS1</t>
  </si>
  <si>
    <t>551BC02.DS1~2</t>
  </si>
  <si>
    <t>611BF01.PS1</t>
  </si>
  <si>
    <t>611RF01.SS1</t>
  </si>
  <si>
    <t>571RF03.SS1</t>
  </si>
  <si>
    <t>571SR01.VZ1</t>
  </si>
  <si>
    <t>571SR01.VZ2</t>
  </si>
  <si>
    <t>NÍVEL BAIXO DO TANQUE DE ÁGUA</t>
  </si>
  <si>
    <t>NÍVEL ALTO DO TANQUE DE ÁGUA</t>
  </si>
  <si>
    <t>VAZÃO DE ÁGUA DO SISTEMA DE INJEÇÃO DE ÁGUA PARA MOINHO</t>
  </si>
  <si>
    <t>VIBRAÇÃO DO MANCAL DO MOTOR - LADO DO ACOPLAMENTO</t>
  </si>
  <si>
    <t>150°C</t>
  </si>
  <si>
    <t xml:space="preserve">RECEPTOR / TRANSMISSOR TEMPERATURA </t>
  </si>
  <si>
    <t>TRANSMISSOR DE PRESSÃO DIFERENCIAL</t>
  </si>
  <si>
    <t>611BE02.XS1</t>
  </si>
  <si>
    <t>611BE02.SS1</t>
  </si>
  <si>
    <t>611BE02.LS1</t>
  </si>
  <si>
    <t>611BE02.M2.SS1</t>
  </si>
  <si>
    <t>611MD01.ZS1</t>
  </si>
  <si>
    <t>611MD01.ZS2</t>
  </si>
  <si>
    <t xml:space="preserve">   Nº DOC: </t>
  </si>
  <si>
    <t xml:space="preserve">   DATA:</t>
  </si>
  <si>
    <t>611MD03.ZS1</t>
  </si>
  <si>
    <t>611MD03.ZS2</t>
  </si>
  <si>
    <t>611MD06.ZS1</t>
  </si>
  <si>
    <t>611MD06.ZS2</t>
  </si>
  <si>
    <t>611MD02.ZS1</t>
  </si>
  <si>
    <t>611MD02.ZS2</t>
  </si>
  <si>
    <t>611MD05.ZS1</t>
  </si>
  <si>
    <t>611MD05.ZS2</t>
  </si>
  <si>
    <t>611MD04.ZS1</t>
  </si>
  <si>
    <t>611MD04.ZS2</t>
  </si>
  <si>
    <t>611BF03.PS1</t>
  </si>
  <si>
    <t>611BF04.PS1</t>
  </si>
  <si>
    <t>EMERGÊNCIA 
LADO DIREITO</t>
  </si>
  <si>
    <t>CHAVE DE 
DESALINHAMENTO</t>
  </si>
  <si>
    <t>SENSOR 1
VIGIA DE VELOCIDADE</t>
  </si>
  <si>
    <t>SENSOR 2
VIGIA DE VELOCIDADE</t>
  </si>
  <si>
    <t>SENSOR DE ESTICAMENTO</t>
  </si>
  <si>
    <t>DESVIO PARA CALIBRAÇÃO</t>
  </si>
  <si>
    <t>TEMPERATURA ENROLAMENTO
FASE R</t>
  </si>
  <si>
    <t>TEMPERATURA ENROLAMENTO
FASE S</t>
  </si>
  <si>
    <t>TEMPERATURA ENROLAMENTO
FASE T</t>
  </si>
  <si>
    <t>TEMPERATURA DO REDUTOR - 1</t>
  </si>
  <si>
    <t>TEMPERATURA DO REDUTOR - 2</t>
  </si>
  <si>
    <t>TEMPERATURA DO REDUTOR - 3</t>
  </si>
  <si>
    <t>TEMPERATURA DO REDUTOR - 4</t>
  </si>
  <si>
    <t>TEMPERATURA DO REDUTOR - 5</t>
  </si>
  <si>
    <t>TEMPERATURA DO REDUTOR - 6</t>
  </si>
  <si>
    <t>PRESSÃO DIFERENCIAL
FILTRO DE MANGAS</t>
  </si>
  <si>
    <t>NÍVEL ALTO DE ÓLEO NO TANQUE</t>
  </si>
  <si>
    <t>VAZÃO 1 DE ÓLEO DA BOMBA DE BAIXA PRESSÃO NO MANCAL DE ENTRADA</t>
  </si>
  <si>
    <t>VAZÃO 2 DE ÓLEO DA BOMBA DE BAIXA PRESSÃO NO MANCAL DE ENTRADA</t>
  </si>
  <si>
    <t>NÍVEL BAIXO DE ÓLEO NO TANQUE</t>
  </si>
  <si>
    <t>ENTUPIMENTO DO FILTRO DE ÓLEO</t>
  </si>
  <si>
    <t>TEMPERATURA ALTA DO MOTOR DE GIRO LENTO</t>
  </si>
  <si>
    <t>TEMPERATURA FASE R</t>
  </si>
  <si>
    <t>TEMPERATURA FASE S</t>
  </si>
  <si>
    <t>TEMPERATURA FASE T</t>
  </si>
  <si>
    <t>TEMPERATURA LADO DO ACOPLAMENTO</t>
  </si>
  <si>
    <t>TEMPERATURA LADO OPOSTO ACOPLAMENTO</t>
  </si>
  <si>
    <t>VIBRAÇÃO SUPERIOR</t>
  </si>
  <si>
    <t>VIBRAÇÃO LATERAL</t>
  </si>
  <si>
    <t>VÁLVULA ON/OFF
SISTEMA DE ARREFECIMENTO</t>
  </si>
  <si>
    <t>NÍVEL ALTO DO TANQUE</t>
  </si>
  <si>
    <t>NÍVEL BAIXO DO TANQUE</t>
  </si>
  <si>
    <t>TEMPERATURA DO TANQUE</t>
  </si>
  <si>
    <t>TEMPERATURA DE SAÍDA</t>
  </si>
  <si>
    <t>TEMPERATURA DE TIRAGEM</t>
  </si>
  <si>
    <t>TEMPERATURA 1
MANCAL DE ENTRADA</t>
  </si>
  <si>
    <t>TEMPERATURA 2
MANCAL DE ENTRADA</t>
  </si>
  <si>
    <t>TEMPERATURA 3
MANCAL DE ENTRADA</t>
  </si>
  <si>
    <t>TEMPERATURA 4
MANCAL DE ENTRADA</t>
  </si>
  <si>
    <t>100ºC</t>
  </si>
  <si>
    <t xml:space="preserve"> TRANSMISSOR DE POSIÇÃO</t>
  </si>
  <si>
    <t>TEMPERATURA 1
MANCAL DE SAÍDA</t>
  </si>
  <si>
    <t>TEMPERATURA 2
MANCAL DE SAÍDA</t>
  </si>
  <si>
    <t>TEMPERATURA 3
MANCAL DE SAÍDA</t>
  </si>
  <si>
    <t>TEMPERATURA 4
MANCAL DE SAÍDA</t>
  </si>
  <si>
    <t>100°C</t>
  </si>
  <si>
    <t>TEMPERATURA DE ÓLEO
LINHA BAIXA PRESSÃO</t>
  </si>
  <si>
    <t>TEMPERATURA DE ÓLEO
TANQUE DE ÓLEO</t>
  </si>
  <si>
    <t>PRESSÃO DE ÓLEO
LINHA DE ALTA PRESSÃO</t>
  </si>
  <si>
    <t>PRESSÃO DE ÓLEO
LINHA DE BAIXA PRESSÃO</t>
  </si>
  <si>
    <t>571LQ01.PZ1</t>
  </si>
  <si>
    <t>150mm</t>
  </si>
  <si>
    <t>300mm</t>
  </si>
  <si>
    <t>571BE01.XS1</t>
  </si>
  <si>
    <t>SENSOR TEMPERATURA</t>
  </si>
  <si>
    <t>TEMPERATURA NA SAÍDA</t>
  </si>
  <si>
    <t>500°C</t>
  </si>
  <si>
    <t>200°C</t>
  </si>
  <si>
    <t>571SR01.TE9</t>
  </si>
  <si>
    <t>571SR01.TEA</t>
  </si>
  <si>
    <t>0mm/s</t>
  </si>
  <si>
    <t>25mm/s</t>
  </si>
  <si>
    <t>10 mm/s</t>
  </si>
  <si>
    <r>
      <t>0 mg/m</t>
    </r>
    <r>
      <rPr>
        <vertAlign val="superscript"/>
        <sz val="12"/>
        <rFont val="Arial"/>
        <family val="2"/>
      </rPr>
      <t>3</t>
    </r>
  </si>
  <si>
    <t>ANALISADOR DE PARTICULADOS</t>
  </si>
  <si>
    <t>OPACÍMETRO
MEDIDOR DE PARTICULADOS
(ELETRODINAMICO)</t>
  </si>
  <si>
    <t>PRESSÃO NA LINHA DE ÓLEO</t>
  </si>
  <si>
    <t>0 mm/s</t>
  </si>
  <si>
    <t>571BM01.TEH</t>
  </si>
  <si>
    <t>571BM01.TEB / C</t>
  </si>
  <si>
    <t>571BM01.TED / E</t>
  </si>
  <si>
    <t>571BM01.TEF</t>
  </si>
  <si>
    <t>VIBRAÇÃO DO MANCAL DO MOTOR - LADO OPOSTO ACOPLAMENTO</t>
  </si>
  <si>
    <t>NÍVEL BAIXO DE GRAXA</t>
  </si>
  <si>
    <t>611BE01.DS1</t>
  </si>
  <si>
    <t>611BE01.DS2</t>
  </si>
  <si>
    <t>611BE02.DS2</t>
  </si>
  <si>
    <t>VOTORANTIM CIMENTOS</t>
  </si>
  <si>
    <t>0mm</t>
  </si>
  <si>
    <t>0,5mm</t>
  </si>
  <si>
    <t>VIBRAÇÃO MANCAL
DO VENTILADOR - L.A</t>
  </si>
  <si>
    <t>VIBRAÇÃO MANCAL
DO VENTILADOR - L.O.A</t>
  </si>
  <si>
    <t>NÍVEL DE SAÍDA DO MOINHO</t>
  </si>
  <si>
    <t>551AC01</t>
  </si>
  <si>
    <t>551AC02</t>
  </si>
  <si>
    <t>CICLO CONCLUÍDO</t>
  </si>
  <si>
    <t>ABERTO SUPERIOR</t>
  </si>
  <si>
    <t>ABERTO INFERIOR</t>
  </si>
  <si>
    <t>SENSOR INDUTIVO DE PROXIMIDADE A SER INSTALADO EXTERNAMENTE AO EQUIPAMENTO</t>
  </si>
  <si>
    <t>0,1mm</t>
  </si>
  <si>
    <t>5mm</t>
  </si>
  <si>
    <t>LEVANTAMENTO DO MOINHO
LADO ESQUERDO</t>
  </si>
  <si>
    <t>LEVANTAMENTO DO MOINHO
LADO DIREITO</t>
  </si>
  <si>
    <t>DESLOCAMENTO AXIAL</t>
  </si>
  <si>
    <t>VIBRAÇÃO DO MANCAL SUPERIOR</t>
  </si>
  <si>
    <t>VIBRAÇÃO DO MANCAL INFERIOR</t>
  </si>
  <si>
    <t>VELOCIDADE DO SEPARADOR</t>
  </si>
  <si>
    <t>60Hz</t>
  </si>
  <si>
    <t>0Hz</t>
  </si>
  <si>
    <t>VIBRAÇÃO 1 MANCAL DO VENTILADOR - L.A</t>
  </si>
  <si>
    <t>VIBRAÇÃO 2 MANCAL DO VENTILADOR - L.A</t>
  </si>
  <si>
    <t>VIBRAÇÃO 1 MANCAL DO VENTILADOR - L.O.A</t>
  </si>
  <si>
    <t>VIBRAÇÃO 2 MANCAL DO VENTILADOR - L.O.A</t>
  </si>
  <si>
    <t>VIBRAÇÃO DO MANCAL DO MOTOR</t>
  </si>
  <si>
    <t>VIBRAÇÃO DO MANCAL DO REDUTOR</t>
  </si>
  <si>
    <t>SENSOR INDUTIVO NAMUR</t>
  </si>
  <si>
    <t>CHAVE DE NÍVEL TIPO BOIA MAGNÉTICA</t>
  </si>
  <si>
    <t>ABERTO</t>
  </si>
  <si>
    <t>PAINEL PARA INTERLIGAÇÃO</t>
  </si>
  <si>
    <t>NÍVEL DO TANQUE</t>
  </si>
  <si>
    <t>TRANSMISSOR DE NÍVEL
TIPO RADAR</t>
  </si>
  <si>
    <t>NÍVEL MUITO BAIXO DE ÓLEO NO TANQUE</t>
  </si>
  <si>
    <t>551SC01.SS1</t>
  </si>
  <si>
    <t>571BE02.XS1</t>
  </si>
  <si>
    <t>571BM01.TEJ</t>
  </si>
  <si>
    <t>571FN01.VZ3</t>
  </si>
  <si>
    <t>571FN01.VZ4</t>
  </si>
  <si>
    <t>571WS01.LS2</t>
  </si>
  <si>
    <t>571WS01.LS3</t>
  </si>
  <si>
    <t>571FN02.VZ4</t>
  </si>
  <si>
    <t>571FN02VZ1</t>
  </si>
  <si>
    <t>571FN02VZ2</t>
  </si>
  <si>
    <t>571BM01.TEI</t>
  </si>
  <si>
    <t>TEMPERATURA DE ENTRADA</t>
  </si>
  <si>
    <t>571DA01.ZSO</t>
  </si>
  <si>
    <t>571DA01.ZSC</t>
  </si>
  <si>
    <t>571SR01.TE1~2</t>
  </si>
  <si>
    <t>571SR01.TE3~4</t>
  </si>
  <si>
    <t>571SR01.TE5~6</t>
  </si>
  <si>
    <t>571SR01.TE7</t>
  </si>
  <si>
    <t>571SR01.TE8</t>
  </si>
  <si>
    <t>CX. Padrão Vigia de Velocidade com anteparo de 2 Aletas (30 a 60 rpm)</t>
  </si>
  <si>
    <t>COMPRAR CONFORME MODELO VOTORANTIM INFORMADO NA COLUNA FOLHA DE DADOS</t>
  </si>
  <si>
    <t>Código de Compra VC: 491550</t>
  </si>
  <si>
    <t>VCM-0828 IT 02 + VCM-0830</t>
  </si>
  <si>
    <t>TURCK</t>
  </si>
  <si>
    <t>BI10-M30-LIU</t>
  </si>
  <si>
    <t>SENSE</t>
  </si>
  <si>
    <t>DENSYX</t>
  </si>
  <si>
    <t>MillScan G4</t>
  </si>
  <si>
    <t>SI0551</t>
  </si>
  <si>
    <t>PENDENTE SINOMA</t>
  </si>
  <si>
    <t>CHAVE DE NÍVEL 
TIPO BOIA</t>
  </si>
  <si>
    <t>KOBOLD</t>
  </si>
  <si>
    <t>NKP-2401</t>
  </si>
  <si>
    <t>TELEMECANIQUE</t>
  </si>
  <si>
    <t>XS1M30MB250</t>
  </si>
  <si>
    <t>VEGAVIB63</t>
  </si>
  <si>
    <t>VEGA</t>
  </si>
  <si>
    <t>Festo</t>
  </si>
  <si>
    <t>VZWF-B-L-M22C-G34-275-2AP4-6-R1</t>
  </si>
  <si>
    <t>TUCANO</t>
  </si>
  <si>
    <t>ECIL</t>
  </si>
  <si>
    <t>TSM10/PT1-S-60-316/316-27-S-200/KNE-21/33/4BI</t>
  </si>
  <si>
    <t>TSM10/PT1-S-60-316/316-27-S-1200/KNE-21/33/4BI</t>
  </si>
  <si>
    <t>PENDENTE VOTORANTIM</t>
  </si>
  <si>
    <t>NÍVEL DE ÓLEO NO TANQUE</t>
  </si>
  <si>
    <t>LR3000</t>
  </si>
  <si>
    <t>DELOCAMENTO AXIAL</t>
  </si>
  <si>
    <t>PN3593</t>
  </si>
  <si>
    <t>VAZÃO DE ÓLEO</t>
  </si>
  <si>
    <t>TRANSMISSOR DE TEMPERATURA</t>
  </si>
  <si>
    <t>TA2145</t>
  </si>
  <si>
    <t>CONTADOR DE PARTÍCULAS DO ÓLEO</t>
  </si>
  <si>
    <t>CONTADOR DE PARTÍCULAS</t>
  </si>
  <si>
    <t>TEMPERATURA E UMIDADE DO ÓLEO DO TANQUE</t>
  </si>
  <si>
    <t>TRANSMISSOR DE TEMPERATURA E UMIDADE</t>
  </si>
  <si>
    <t>ROTAÇÃO LENTA ACOPLADA</t>
  </si>
  <si>
    <t>FREIO ABERTO GIRO LENTO</t>
  </si>
  <si>
    <t>TEMPERATURA DO MANCAL SUPERIOR</t>
  </si>
  <si>
    <t>TEMPERATURA DO MANCAL INFERIOR</t>
  </si>
  <si>
    <t>NÍVEL MUITO BAIXO DO TANQUE DE ÁGUA</t>
  </si>
  <si>
    <t>LDH100</t>
  </si>
  <si>
    <t>LDP100</t>
  </si>
  <si>
    <t>PN2094</t>
  </si>
  <si>
    <t>400°C</t>
  </si>
  <si>
    <t>10mm/s</t>
  </si>
  <si>
    <t>571FN02.VZ3</t>
  </si>
  <si>
    <t>-50°C</t>
  </si>
  <si>
    <r>
      <t>0 m</t>
    </r>
    <r>
      <rPr>
        <vertAlign val="superscript"/>
        <sz val="12"/>
        <rFont val="Arial"/>
        <family val="2"/>
      </rPr>
      <t>3</t>
    </r>
    <r>
      <rPr>
        <sz val="12"/>
        <rFont val="Arial"/>
        <family val="2"/>
      </rPr>
      <t>/h</t>
    </r>
  </si>
  <si>
    <r>
      <t>15 m</t>
    </r>
    <r>
      <rPr>
        <vertAlign val="superscript"/>
        <sz val="12"/>
        <rFont val="Arial"/>
        <family val="2"/>
      </rPr>
      <t>3</t>
    </r>
    <r>
      <rPr>
        <sz val="12"/>
        <rFont val="Arial"/>
        <family val="2"/>
      </rPr>
      <t>/h</t>
    </r>
  </si>
  <si>
    <t>ELETTA</t>
  </si>
  <si>
    <t>D5-FLSS125, Oil, D/L, 200-1000 l/min</t>
  </si>
  <si>
    <t>IG6083</t>
  </si>
  <si>
    <t>EMERSON</t>
  </si>
  <si>
    <t>648DX1D1I1WA3WK1B5M5Q4 + 
214C RT SM A1 S3 M 0300 CC</t>
  </si>
  <si>
    <t>1410S1NA31ND6NA + 781SA1PNANA5WP3</t>
  </si>
  <si>
    <t>TEMPERATURA DA BAIA DO TRAFO</t>
  </si>
  <si>
    <t>DANFOSS</t>
  </si>
  <si>
    <t>MBT 5410
000-060-010-0000</t>
  </si>
  <si>
    <t>TEMPERATURA DA SALA ELÉTRICA</t>
  </si>
  <si>
    <t>VICTOR MENDONÇA</t>
  </si>
  <si>
    <t>FÁBRICA DE EDEALINA - GO
PROJETO DETALHADO - MOAGEM DE CIMENTO Z2</t>
  </si>
  <si>
    <t>ED-I-Z2000-120</t>
  </si>
  <si>
    <t>JKP</t>
  </si>
  <si>
    <t>LI-A-20V093E-001</t>
  </si>
  <si>
    <t>VOTORANTIM CIMENTOS 
FÁBRICA DE EDEALINA - GO</t>
  </si>
  <si>
    <t>G1L03XV1</t>
  </si>
  <si>
    <t>G1L03XV2</t>
  </si>
  <si>
    <t>G1L03XV3</t>
  </si>
  <si>
    <t>G1L03XV4</t>
  </si>
  <si>
    <t>551AC03</t>
  </si>
  <si>
    <t>551AC04</t>
  </si>
  <si>
    <t>Z2P11PSL</t>
  </si>
  <si>
    <t>FILTRO DE MANGAS - Z2P11</t>
  </si>
  <si>
    <t>Z2P11Q1</t>
  </si>
  <si>
    <t>VÁLVULA ROTATIVA - Z2P13</t>
  </si>
  <si>
    <t>SILO DE GESSO - G1L03
CANHÃO DE AR #1</t>
  </si>
  <si>
    <t>SILO DE GESSO - G1L03
CANHÃO DE AR #2</t>
  </si>
  <si>
    <t>SILO DE GESSO - G1L03
CANHÃO DE AR #3</t>
  </si>
  <si>
    <t>SILO DE GESSO - G1L03
CANHÃO DE AR #4</t>
  </si>
  <si>
    <t>Z2B01FSL</t>
  </si>
  <si>
    <t>Z2C01Q1</t>
  </si>
  <si>
    <t>Z2C01FSL</t>
  </si>
  <si>
    <t>Z2B01Q1</t>
  </si>
  <si>
    <t>BALANÇA DOSADORA DE GESSO - Z2B01</t>
  </si>
  <si>
    <t>Z2D01FSL</t>
  </si>
  <si>
    <t>Z2D01Q1</t>
  </si>
  <si>
    <t>Z2A01FSL</t>
  </si>
  <si>
    <t>BALANÇA DOSADORA DE CLINQUER - Z2A01</t>
  </si>
  <si>
    <t>Z2A01Q1</t>
  </si>
  <si>
    <t>BALANÇA DOSADORA DE CALCÁRIO - Z2C01</t>
  </si>
  <si>
    <t>BALANÇA DOSADORA DE ESCÓRIA - Z2D01</t>
  </si>
  <si>
    <t>Z2J01HS1</t>
  </si>
  <si>
    <t>Z2J01HS2</t>
  </si>
  <si>
    <t>CORREIA TRANSPORTADORA - Z2J01</t>
  </si>
  <si>
    <t>Z2J01LSH</t>
  </si>
  <si>
    <t>Z2J01SE1</t>
  </si>
  <si>
    <t>Z2J01XSH1</t>
  </si>
  <si>
    <t>Z2J01XSH2</t>
  </si>
  <si>
    <t>Z2J02HS1</t>
  </si>
  <si>
    <t>CORREIA TRANSPORTADORA - Z2J02</t>
  </si>
  <si>
    <t>Z2J02HS2</t>
  </si>
  <si>
    <t>Z2J02LSH</t>
  </si>
  <si>
    <t>Z2J02SE1</t>
  </si>
  <si>
    <t>Z2J02XSH1</t>
  </si>
  <si>
    <t>Z2J02XSH2</t>
  </si>
  <si>
    <t>Z2J02ZSH</t>
  </si>
  <si>
    <t>ROSCA TRANSPORTADORA - Z2J04</t>
  </si>
  <si>
    <t>EXTRATOR DE METAIS - Z2S08</t>
  </si>
  <si>
    <t>Z2SIR01</t>
  </si>
  <si>
    <t>Z2P21PSL</t>
  </si>
  <si>
    <t>FILTRO DE MANGAS - Z2P21</t>
  </si>
  <si>
    <t>Z2P21Q1</t>
  </si>
  <si>
    <t>VÁLVULA ROTATIVA - Z2P23</t>
  </si>
  <si>
    <t>Z2J03ZSH</t>
  </si>
  <si>
    <t>VÁLVULA DESVIADORA - Z2J03</t>
  </si>
  <si>
    <t>Z2J03ZSL</t>
  </si>
  <si>
    <t>Z2J11LSH</t>
  </si>
  <si>
    <t>ABRE/FECHA</t>
  </si>
  <si>
    <t>SOLENOIDE</t>
  </si>
  <si>
    <t>Z2J03XV</t>
  </si>
  <si>
    <t>VÁLVULA PNEUMÁTICA - Z2J03</t>
  </si>
  <si>
    <t>Z2J08LSH</t>
  </si>
  <si>
    <t>REGUEIRA DE SAÍDA DO MOINHO - Z2J08</t>
  </si>
  <si>
    <t>Z2J10LSH</t>
  </si>
  <si>
    <t xml:space="preserve"> ELEVADOR DE CANECAS - Z2J10</t>
  </si>
  <si>
    <t>Z2J10SE1</t>
  </si>
  <si>
    <t>ELEVADOR DE CANECAS - Z2J10</t>
  </si>
  <si>
    <t>Z2J10XT1</t>
  </si>
  <si>
    <t>Z2J10XT2</t>
  </si>
  <si>
    <t>REGUEIRA DE SAÍDA DO ELEVADOR DE CANECAS - Z2J11</t>
  </si>
  <si>
    <t>Z2J16ZSH</t>
  </si>
  <si>
    <t>VÁLVULA DUPLO FLAP - Z2J16</t>
  </si>
  <si>
    <t>Z2J19LSH</t>
  </si>
  <si>
    <t>REGUEIRA DE SAÍDA DA VÁLVULA SEPARADOR - Z2J19</t>
  </si>
  <si>
    <t>Z2J18LSH</t>
  </si>
  <si>
    <t>ELEVADOR DE CANECAS - Z2J18</t>
  </si>
  <si>
    <t>VÁLVULA ROTATIVA - Z2J33</t>
  </si>
  <si>
    <t>ROSCA TRANSPORTADORA - Z2J34</t>
  </si>
  <si>
    <t>Z2J10TSH</t>
  </si>
  <si>
    <t>Z2J10SE2</t>
  </si>
  <si>
    <t>Z2J16ZSL</t>
  </si>
  <si>
    <t>Z2J18SE1</t>
  </si>
  <si>
    <t>Z2J18XT1</t>
  </si>
  <si>
    <t>Z2J18XT2</t>
  </si>
  <si>
    <t>Z2J18SE2</t>
  </si>
  <si>
    <t>Z2K01FT1</t>
  </si>
  <si>
    <t>SISTEMA DE INJEÇÃO DE ÁGUA 
PARA MOINHO - Z2K01</t>
  </si>
  <si>
    <t>Z2K01FT2</t>
  </si>
  <si>
    <t>Z2K01LSH</t>
  </si>
  <si>
    <t>Z2K01LSL</t>
  </si>
  <si>
    <t>Z2K01LSLL</t>
  </si>
  <si>
    <t>Z2K01PSL</t>
  </si>
  <si>
    <t>Z2K01XV</t>
  </si>
  <si>
    <t>Z2K01ZSH</t>
  </si>
  <si>
    <t>Z2K01ZSL</t>
  </si>
  <si>
    <t>Z2K06LSL</t>
  </si>
  <si>
    <t>TORRE ALPINA - Z2K06</t>
  </si>
  <si>
    <t>Z2M01LSH</t>
  </si>
  <si>
    <t>MOINHO DE BOLAS - Z2M01</t>
  </si>
  <si>
    <t>Z2M01PT1</t>
  </si>
  <si>
    <t>Z2M01PT2</t>
  </si>
  <si>
    <t>Z2M01TE3</t>
  </si>
  <si>
    <t>Z2M01TE1</t>
  </si>
  <si>
    <t>Z2M01TE2</t>
  </si>
  <si>
    <t>Z2M01TT3</t>
  </si>
  <si>
    <t>Z2M01TE4</t>
  </si>
  <si>
    <t>Z2M02TE1</t>
  </si>
  <si>
    <t>REDUTOR DO MOINHO - Z2M02</t>
  </si>
  <si>
    <t>Z2M02TE2</t>
  </si>
  <si>
    <t>Z2M02TE3</t>
  </si>
  <si>
    <t>Z2M02TE4</t>
  </si>
  <si>
    <t>Z2M02TE5</t>
  </si>
  <si>
    <t>Z2M02TE6</t>
  </si>
  <si>
    <t>Z2M02ZT</t>
  </si>
  <si>
    <t>Z2M03M1TE1</t>
  </si>
  <si>
    <t>MOTOR PRINCIPAL DO MOINHO - Z2M03</t>
  </si>
  <si>
    <t>Z2M03M1TE2</t>
  </si>
  <si>
    <t>Z2M03M1TE3</t>
  </si>
  <si>
    <t>Z2M03M1TE4</t>
  </si>
  <si>
    <t>Z2M03M1TE5</t>
  </si>
  <si>
    <t>Z2M03M2ZS1</t>
  </si>
  <si>
    <t>Z2M03M2ZS2</t>
  </si>
  <si>
    <t>Z2M03M2ZS3</t>
  </si>
  <si>
    <t>Z2M03M2ZS4</t>
  </si>
  <si>
    <t>Z2M03M2ZS5</t>
  </si>
  <si>
    <t>Z2M03M2ZS6</t>
  </si>
  <si>
    <t>Z2M03M2ZS7</t>
  </si>
  <si>
    <t>Z2M03M2ZS8</t>
  </si>
  <si>
    <t>Z2M03Q1LSH</t>
  </si>
  <si>
    <t>REOSTATO LÍQUIDO DO MOTOR
 PRINCIPAL DO MOINHO - Z2M03Q1</t>
  </si>
  <si>
    <t>Z2M03Q1LSL</t>
  </si>
  <si>
    <t>Z2M03Q1TE</t>
  </si>
  <si>
    <t>Z2M04M1TSH</t>
  </si>
  <si>
    <t>MOTOR AUXILIAR GIRO LENTO - Z2M04</t>
  </si>
  <si>
    <t>Z2M04M1ZS</t>
  </si>
  <si>
    <t>Z2M04M1ZSH</t>
  </si>
  <si>
    <t>Z2M04M1ZSL</t>
  </si>
  <si>
    <t>Z2M05FSL</t>
  </si>
  <si>
    <t>Z2M05FT1</t>
  </si>
  <si>
    <t>Z2M05FT2</t>
  </si>
  <si>
    <t>Z2M05LSL</t>
  </si>
  <si>
    <t>Z2M05LSLL</t>
  </si>
  <si>
    <t>Z2M05PDSH</t>
  </si>
  <si>
    <t>Z2M05TE1</t>
  </si>
  <si>
    <t>Z2M05TE2</t>
  </si>
  <si>
    <t>Z2M05XV</t>
  </si>
  <si>
    <t>Z2M10FSL</t>
  </si>
  <si>
    <t>Z2M10FT1</t>
  </si>
  <si>
    <t>Z2M10FT2</t>
  </si>
  <si>
    <t>Z2M10LSL</t>
  </si>
  <si>
    <t>Z2M10LSLL</t>
  </si>
  <si>
    <t>Z2M10PDSH</t>
  </si>
  <si>
    <t>Z2M10TE1</t>
  </si>
  <si>
    <t>Z2M10TE2</t>
  </si>
  <si>
    <t>Z2M10XV</t>
  </si>
  <si>
    <t>Z2M15FSL1</t>
  </si>
  <si>
    <t>UNIDADE DE LUBRIFICAÇÃO DO REDUTOR - Z2M15</t>
  </si>
  <si>
    <t>Z2M15FSL2</t>
  </si>
  <si>
    <t>Z2M15FT</t>
  </si>
  <si>
    <t>Z2M15LSL</t>
  </si>
  <si>
    <t>Z2M15LSLL</t>
  </si>
  <si>
    <t>Z2M15LT</t>
  </si>
  <si>
    <t>Z2M15PDSH</t>
  </si>
  <si>
    <t>Z2M15PT1</t>
  </si>
  <si>
    <t>Z2M15PT2</t>
  </si>
  <si>
    <t>Z2M15TE1</t>
  </si>
  <si>
    <t>Z2M15TE2</t>
  </si>
  <si>
    <t>Z2M15TT1</t>
  </si>
  <si>
    <t>Z2M15TT2</t>
  </si>
  <si>
    <t>Z2M15CO</t>
  </si>
  <si>
    <t>Z2M15XV</t>
  </si>
  <si>
    <t>Z2M21TE1</t>
  </si>
  <si>
    <t>MANCAL DE ENTRADA DO MOINHO - Z2M21</t>
  </si>
  <si>
    <t>Z2M21TE2</t>
  </si>
  <si>
    <t>Z2M21TE3</t>
  </si>
  <si>
    <t>Z2M21TE4</t>
  </si>
  <si>
    <t>Z2M21ZT1</t>
  </si>
  <si>
    <t>Z2M21ZT2</t>
  </si>
  <si>
    <t>Z2M21ZT3</t>
  </si>
  <si>
    <t>Z2M22TE1</t>
  </si>
  <si>
    <t>MANCAL DE SAÍDA DO MOINHO - Z2M22</t>
  </si>
  <si>
    <t>Z2M22TE2</t>
  </si>
  <si>
    <t>Z2M22TE3</t>
  </si>
  <si>
    <t>Z2M22TE4</t>
  </si>
  <si>
    <t>Z2M22ZT1</t>
  </si>
  <si>
    <t>Z2M22ZT2</t>
  </si>
  <si>
    <t>Z2M22ZT3</t>
  </si>
  <si>
    <t>Z2P31LSH1</t>
  </si>
  <si>
    <t>FILTRO DE MANGAS - Z2P31</t>
  </si>
  <si>
    <t>Z2P31LSH2</t>
  </si>
  <si>
    <t>Z2P31PDT</t>
  </si>
  <si>
    <t>Z2P31PT1</t>
  </si>
  <si>
    <t>Z2P31PT2</t>
  </si>
  <si>
    <t>Z2P31PT3</t>
  </si>
  <si>
    <t>Z2P31Q1</t>
  </si>
  <si>
    <t>Z2P31TE1</t>
  </si>
  <si>
    <t>Z2P31TE2</t>
  </si>
  <si>
    <t>Z2P32M1TE1</t>
  </si>
  <si>
    <t>MOTOR DO VENTILADOR DO FILTRO DE MANGAS - Z2P32M1</t>
  </si>
  <si>
    <t>Z2P32M1TE2</t>
  </si>
  <si>
    <t>Z2P32M1TE3</t>
  </si>
  <si>
    <t>Z2P32M1TE4</t>
  </si>
  <si>
    <t>Z2P32M1TE5</t>
  </si>
  <si>
    <t>Z2P32M1XT1</t>
  </si>
  <si>
    <t>Z2P32M1XT2</t>
  </si>
  <si>
    <t>Z2P32M1XT3</t>
  </si>
  <si>
    <t>Z2P32TE1</t>
  </si>
  <si>
    <t>VENTILADOR DO FILTRO DE MANGAS - Z2P32</t>
  </si>
  <si>
    <t>Z2P32TE2</t>
  </si>
  <si>
    <t>Z2P32XT1</t>
  </si>
  <si>
    <t>Z2P32XT2</t>
  </si>
  <si>
    <t>Z2P32XT3</t>
  </si>
  <si>
    <t>Z2P32XT4</t>
  </si>
  <si>
    <t>Z2P33SP</t>
  </si>
  <si>
    <t>DAMPER DE TIRAGEM DO FILTRO - Z2P33</t>
  </si>
  <si>
    <t>Z2P33TSH</t>
  </si>
  <si>
    <t>Z2P33ZSH1</t>
  </si>
  <si>
    <t>Z2P33ZSH2</t>
  </si>
  <si>
    <t>Z2P33ZSL1</t>
  </si>
  <si>
    <t>Z2P33ZSL2</t>
  </si>
  <si>
    <t>Z2P33ZT</t>
  </si>
  <si>
    <t>Z2P34AT</t>
  </si>
  <si>
    <t>CHAMINÉ - Z2P34</t>
  </si>
  <si>
    <t>Z2P51LSH1</t>
  </si>
  <si>
    <t>FILTRO DE MANGAS - Z2P51</t>
  </si>
  <si>
    <t>Z2P51LSH2</t>
  </si>
  <si>
    <t>Z2P51LSH3</t>
  </si>
  <si>
    <t>Z2P51LSH4</t>
  </si>
  <si>
    <t>Z2P51LSH5</t>
  </si>
  <si>
    <t>Z2P51LSH6</t>
  </si>
  <si>
    <t>Z2P51PDT</t>
  </si>
  <si>
    <t>Z2P51PT1</t>
  </si>
  <si>
    <t>Z2P51PT2</t>
  </si>
  <si>
    <t>Z2P51PT3</t>
  </si>
  <si>
    <t>Z2P51Q1</t>
  </si>
  <si>
    <t>Z2P51TE1</t>
  </si>
  <si>
    <t>Z2P51TE2</t>
  </si>
  <si>
    <t>Z2P52M1TE1</t>
  </si>
  <si>
    <t>MOTOR VENTILADOR DO FILTRO DE MANGAS - Z2P52M1</t>
  </si>
  <si>
    <t>Z2P52M1TE2</t>
  </si>
  <si>
    <t>Z2P52M1TE3</t>
  </si>
  <si>
    <t>Z2P52M1TE4</t>
  </si>
  <si>
    <t>Z2P52M1TE5</t>
  </si>
  <si>
    <t>Z2P52M1XT1</t>
  </si>
  <si>
    <t>Z2P52M1XT2</t>
  </si>
  <si>
    <t>Z2P52M1XT3</t>
  </si>
  <si>
    <t>Z2P52TE1</t>
  </si>
  <si>
    <t>VENTILADOR DO FILTRO DE MANGAS - Z2P52</t>
  </si>
  <si>
    <t>Z2P52TE2</t>
  </si>
  <si>
    <t>Z2P52XT1</t>
  </si>
  <si>
    <t>Z2P52XT2</t>
  </si>
  <si>
    <t>Z2P52XT3</t>
  </si>
  <si>
    <t>Z2P52XT4</t>
  </si>
  <si>
    <t>Z2P53SP</t>
  </si>
  <si>
    <t>DAMPER DE TIRAGEM DO FILTRO - Z2P53</t>
  </si>
  <si>
    <t>Z2P53TSH</t>
  </si>
  <si>
    <t>Z2P53ZSH1</t>
  </si>
  <si>
    <t>Z2P53ZSH2</t>
  </si>
  <si>
    <t>Z2P53ZSL1</t>
  </si>
  <si>
    <t>Z2P53ZSL2</t>
  </si>
  <si>
    <t>Z2P53ZT</t>
  </si>
  <si>
    <t>Z2S01M1TE1</t>
  </si>
  <si>
    <t>MOTOR DO SEPARADOR - Z2S01M1</t>
  </si>
  <si>
    <t>Z2S01M1TE2</t>
  </si>
  <si>
    <t>Z2S01M1TE3</t>
  </si>
  <si>
    <t>Z2S01M1TE4</t>
  </si>
  <si>
    <t>Z2S01M1TE5</t>
  </si>
  <si>
    <t>Z2S01M1XT1</t>
  </si>
  <si>
    <t>Z2S01M1XT2</t>
  </si>
  <si>
    <t>Z2S01SE</t>
  </si>
  <si>
    <t>SEPARADOR - Z2S01</t>
  </si>
  <si>
    <t>Z2S01TE1</t>
  </si>
  <si>
    <t>Z2S01TE2</t>
  </si>
  <si>
    <t>Z2S01XV</t>
  </si>
  <si>
    <t>SISTEMA DE ARREFECIMENTO DE AR COMPRIMIDO PARA MANCAL DO SEPARADOR - Z2S01</t>
  </si>
  <si>
    <t>Z2S01ZSH</t>
  </si>
  <si>
    <t>Z2S01ZSL</t>
  </si>
  <si>
    <t>Z2S02SP</t>
  </si>
  <si>
    <t>DAMPER DE AR FRIO DO
SEPARADOR - Z2S02</t>
  </si>
  <si>
    <t>Z2S02TSH</t>
  </si>
  <si>
    <t>Z2S02ZSH</t>
  </si>
  <si>
    <t>Z2S02ZSL</t>
  </si>
  <si>
    <t>Z2S02ZT</t>
  </si>
  <si>
    <t>Z2S03SP</t>
  </si>
  <si>
    <t>DAMPER DE AR FRIO DO
SEPARADOR - Z2S03</t>
  </si>
  <si>
    <t>Z2S03TSH</t>
  </si>
  <si>
    <t>Z2S03ZSH</t>
  </si>
  <si>
    <t>Z2S03ZSL</t>
  </si>
  <si>
    <t>Z2S03ZT</t>
  </si>
  <si>
    <t>Z2S04SP</t>
  </si>
  <si>
    <t>DAMPER DE AR FRIO DO
SEPARADOR - Z2S04</t>
  </si>
  <si>
    <t>Z2S04TSH</t>
  </si>
  <si>
    <t>Z2S04ZSH</t>
  </si>
  <si>
    <t>Z2S04ZSL</t>
  </si>
  <si>
    <t>Z2S04ZT</t>
  </si>
  <si>
    <t>Z2S05SP</t>
  </si>
  <si>
    <t>DAMPER DE AR FRIO DO
SEPARADOR - Z2S05</t>
  </si>
  <si>
    <t>Z2S05TSH</t>
  </si>
  <si>
    <t>Z2S05ZSH</t>
  </si>
  <si>
    <t>Z2S05ZSL</t>
  </si>
  <si>
    <t>Z2S05ZT</t>
  </si>
  <si>
    <t>Z2S06LSL</t>
  </si>
  <si>
    <t>UNIDADE DE LUBRIFICAÇÃO DO SEPARADOR - Z2S06</t>
  </si>
  <si>
    <t>Z2S06PDSH</t>
  </si>
  <si>
    <t>Z2S06PT</t>
  </si>
  <si>
    <t>Z2S06TE</t>
  </si>
  <si>
    <t>Z2S07FSL</t>
  </si>
  <si>
    <t>BOMBA DE GRAXA - Z2S07</t>
  </si>
  <si>
    <t>Z2S07LSL</t>
  </si>
  <si>
    <t>Z2SIR02</t>
  </si>
  <si>
    <t>SIRENE - Z2SIR02</t>
  </si>
  <si>
    <t>Z2SIR03</t>
  </si>
  <si>
    <t>Z2U43ZSH</t>
  </si>
  <si>
    <t>VÁLVULA FLAP - Z2U43</t>
  </si>
  <si>
    <t>Z2TE1</t>
  </si>
  <si>
    <t>BAIA SALA ELÉTRICA - Z2</t>
  </si>
  <si>
    <t>VÁLVULA ROTATIVA - Z2U05</t>
  </si>
  <si>
    <t>VÁLVULA ROTATIVA - Z2U06</t>
  </si>
  <si>
    <t>551BF01.UZ1</t>
  </si>
  <si>
    <t>551BF02.PS1</t>
  </si>
  <si>
    <t>551RF02.SS1</t>
  </si>
  <si>
    <t>551BF02.UZ1</t>
  </si>
  <si>
    <t>571DA02.ZS1</t>
  </si>
  <si>
    <t>571DA02.ZS2</t>
  </si>
  <si>
    <t>571SR01DA01.ZZ1</t>
  </si>
  <si>
    <t>571SR01DA01</t>
  </si>
  <si>
    <t>571SR01DA01.ZSO</t>
  </si>
  <si>
    <t>571SR01DA01.ZSC</t>
  </si>
  <si>
    <t>571SR01DA02.ZZ1</t>
  </si>
  <si>
    <t>571SR01DA02</t>
  </si>
  <si>
    <t>571SR01DA02.ZSO</t>
  </si>
  <si>
    <t>571SR01DA02.ZSC</t>
  </si>
  <si>
    <t>571SR01DA03.ZZ1</t>
  </si>
  <si>
    <t>571SR01DA03</t>
  </si>
  <si>
    <t>571SR01DA03.ZSO</t>
  </si>
  <si>
    <t>571SR01DA03.ZSC</t>
  </si>
  <si>
    <t>571SR01DA04.ZZ1</t>
  </si>
  <si>
    <t>571SR01DA04</t>
  </si>
  <si>
    <t>571SR01DA04.ZSO</t>
  </si>
  <si>
    <t>571SR01DA04.ZSC</t>
  </si>
  <si>
    <t>571BM01.TE9 / A</t>
  </si>
  <si>
    <t>571.OZ1</t>
  </si>
  <si>
    <t>571BE01.M2.SS1</t>
  </si>
  <si>
    <t>571BE02.M2.SS1</t>
  </si>
  <si>
    <t>571WS01.FZ1</t>
  </si>
  <si>
    <t>571WS01.FZ2</t>
  </si>
  <si>
    <t>611BF02.PS1</t>
  </si>
  <si>
    <t>611RF02.SS1</t>
  </si>
  <si>
    <t>611BE01.XS1</t>
  </si>
  <si>
    <t>611BE02.TS1</t>
  </si>
  <si>
    <t>611BE02.DS1</t>
  </si>
  <si>
    <t>551AW01.FZ1</t>
  </si>
  <si>
    <t>571BE02.LS1</t>
  </si>
  <si>
    <t>Z2U11LSH</t>
  </si>
  <si>
    <t>ELEVADOR DE CANECAS - Z2U11</t>
  </si>
  <si>
    <t>Z2U11SE1</t>
  </si>
  <si>
    <t>Z2U11XSH2</t>
  </si>
  <si>
    <t>ELEVADOR DE CANECAS -  Z2U11</t>
  </si>
  <si>
    <t>Z2U11XSH2.1 e Z2U11XSH2.2</t>
  </si>
  <si>
    <t>Z2U11XSH1</t>
  </si>
  <si>
    <t>Z2U11XSH1.1 e Z2U11XSH1.2</t>
  </si>
  <si>
    <t>Z2U11TSH</t>
  </si>
  <si>
    <t>Z2U11SE2</t>
  </si>
  <si>
    <t>Z2P41Q1</t>
  </si>
  <si>
    <t>Z2P41PSL</t>
  </si>
  <si>
    <t>FILTRO DE MANGAS - Z2P41</t>
  </si>
  <si>
    <t>611BF01.UZ1</t>
  </si>
  <si>
    <t>Z2P61PSL</t>
  </si>
  <si>
    <t>Z2P61Q1</t>
  </si>
  <si>
    <t>611BF02.UZ1</t>
  </si>
  <si>
    <t>FILTRO DE MANGAS - Z2P61</t>
  </si>
  <si>
    <t>Z2P71PSL</t>
  </si>
  <si>
    <t>Z2P71Q1</t>
  </si>
  <si>
    <t>FILTRO DE MANGAS -Z2P71</t>
  </si>
  <si>
    <t>FILTRO DE MANGAS - Z2P71</t>
  </si>
  <si>
    <t>611BF03.UZ1</t>
  </si>
  <si>
    <t>P1U21LSH</t>
  </si>
  <si>
    <t>ELEVADOR DE CANECAS - P1U21</t>
  </si>
  <si>
    <t>P1U21SE1</t>
  </si>
  <si>
    <t>P1U21SE2</t>
  </si>
  <si>
    <t>P1U21XSH1</t>
  </si>
  <si>
    <t>P1U21XSH1.1 e P1U21XSH1.2</t>
  </si>
  <si>
    <t>P1U21XSH2</t>
  </si>
  <si>
    <t>ELEVADOR DE CANECAS -  P1U21</t>
  </si>
  <si>
    <t>P1U21XSH2.1 e P1U21XSH2.2</t>
  </si>
  <si>
    <t>P1U21TSH</t>
  </si>
  <si>
    <t>611RF03.SS1</t>
  </si>
  <si>
    <t>611BF04.UZ1</t>
  </si>
  <si>
    <t>FILTRO DE MANGAS - P1P111</t>
  </si>
  <si>
    <t>P1P111PSL</t>
  </si>
  <si>
    <t>P1P111Q1</t>
  </si>
  <si>
    <t>P1U24ZSH</t>
  </si>
  <si>
    <t>P1U24ZSL</t>
  </si>
  <si>
    <t>VÁLVULA DE DESVIO - P1U24
REGUEIRA - P1U23</t>
  </si>
  <si>
    <t>P1U25ZSH</t>
  </si>
  <si>
    <t>P1U25ZSL</t>
  </si>
  <si>
    <t>VÁLVULA DE DESVIO - P1U25
REGUEIRA - P1U23</t>
  </si>
  <si>
    <t>P1U26ZSH</t>
  </si>
  <si>
    <t>P1U26ZSL</t>
  </si>
  <si>
    <t>VÁLVULA DE DESVIO - P1U26
REGUEIRA - P1U23</t>
  </si>
  <si>
    <t>P1U27ZSH</t>
  </si>
  <si>
    <t>P1U27ZSL</t>
  </si>
  <si>
    <t>VÁLVULA DE DESVIO - P1U27
REGUEIRA - P1U23</t>
  </si>
  <si>
    <t>P1U28ZSH</t>
  </si>
  <si>
    <t>P1U28ZSL</t>
  </si>
  <si>
    <t>VÁLVULA DE DESVIO - P1U28
REGUEIRA - P1U23</t>
  </si>
  <si>
    <t>P1U29ZSH</t>
  </si>
  <si>
    <t>P1U29ZSL</t>
  </si>
  <si>
    <t>ABRE</t>
  </si>
  <si>
    <t>FECHA</t>
  </si>
  <si>
    <t>P1U24XV1</t>
  </si>
  <si>
    <t>P1U24XV2</t>
  </si>
  <si>
    <t>P1U25XV1</t>
  </si>
  <si>
    <t>P1U25XV2</t>
  </si>
  <si>
    <t>P1U26XV1</t>
  </si>
  <si>
    <t>P1U26XV2</t>
  </si>
  <si>
    <t>P1U27XV1</t>
  </si>
  <si>
    <t>P1U27XV2</t>
  </si>
  <si>
    <t>P1U28XV1</t>
  </si>
  <si>
    <t>P1U28XV2</t>
  </si>
  <si>
    <t>VÁLVULA DE DESVIO - P1U29
REGUEIRA - P1U23</t>
  </si>
  <si>
    <t>P1U29XV1</t>
  </si>
  <si>
    <t>P1U29XV2</t>
  </si>
  <si>
    <t>ED-I-Z2000-103</t>
  </si>
  <si>
    <t>ED-I-Z2000-107</t>
  </si>
  <si>
    <t>ED-I-Z2000-108</t>
  </si>
  <si>
    <t>ED-I-Z2000-114</t>
  </si>
  <si>
    <t>ED-I-Z2000-104</t>
  </si>
  <si>
    <t>ED-I-Z2000-115</t>
  </si>
  <si>
    <t>ED-I-Z2000-113</t>
  </si>
  <si>
    <t>ED-I-Z2000-105</t>
  </si>
  <si>
    <t>ED-I-Z2000-116</t>
  </si>
  <si>
    <t>ED-I-Z2000-117</t>
  </si>
  <si>
    <t>ED-I-Z2000-106</t>
  </si>
  <si>
    <t>ED-I-Z2000-112</t>
  </si>
  <si>
    <t>ED-I-Z2000-121</t>
  </si>
  <si>
    <t>ED-I-Z2000-111</t>
  </si>
  <si>
    <t>Z2RM6</t>
  </si>
  <si>
    <t>Z2RM2</t>
  </si>
  <si>
    <t>Z2RM3</t>
  </si>
  <si>
    <t>Z2RM4</t>
  </si>
  <si>
    <t>Z2RM5</t>
  </si>
  <si>
    <t>Z2RM7</t>
  </si>
  <si>
    <t>Z2RM1</t>
  </si>
  <si>
    <t>G1RM5</t>
  </si>
  <si>
    <t>G1RM3/G1RM4</t>
  </si>
  <si>
    <t>Z2J01SE2</t>
  </si>
  <si>
    <t>551BC01.SS2</t>
  </si>
  <si>
    <t>Z2J01SECX</t>
  </si>
  <si>
    <t>Z2J02SE2</t>
  </si>
  <si>
    <t>551BC02.SS2</t>
  </si>
  <si>
    <t>Z2J02SECX</t>
  </si>
  <si>
    <t>551BC02.RS1/3/5</t>
  </si>
  <si>
    <t>551BC02.RS2/4/6</t>
  </si>
  <si>
    <t>CAIXA DE PROTEÇÃO PARA VIGIA DE VELOCIDADE</t>
  </si>
  <si>
    <t>Z2J10SE3</t>
  </si>
  <si>
    <t>Z2J18SE3</t>
  </si>
  <si>
    <t>Z2U11SE3</t>
  </si>
  <si>
    <t>P1U21SE3</t>
  </si>
  <si>
    <t>SENSOR 1 - PÉ DO ELEVADOR
VIGIA DE VELOCIDADE</t>
  </si>
  <si>
    <t>SENSOR 2 - PÉ DO ELEVADOR
VIGIA DE VELOCIDADE</t>
  </si>
  <si>
    <t>SENSOR DO MOTOR AUXILIAR 
VIGIA DE VELOCIDADE</t>
  </si>
  <si>
    <t>Z2J10SE2CX</t>
  </si>
  <si>
    <t>Z2J18SE2CX</t>
  </si>
  <si>
    <t>Z2U11SE1CX</t>
  </si>
  <si>
    <t>Z2U11SE2CX</t>
  </si>
  <si>
    <t>Z2U11SE3CX</t>
  </si>
  <si>
    <t>P1U21SE3CX</t>
  </si>
  <si>
    <t>P1U21SE1CX</t>
  </si>
  <si>
    <t>P1U21SE2CX</t>
  </si>
  <si>
    <t>Z2J10SE3CX</t>
  </si>
  <si>
    <t>Z2J10SE1CX</t>
  </si>
  <si>
    <t>Z2J18SE1CX</t>
  </si>
  <si>
    <t>Z2J18SE3CX</t>
  </si>
  <si>
    <t>Z2J10M2SE</t>
  </si>
  <si>
    <t>P1U21M2SE</t>
  </si>
  <si>
    <t>Z2U11M2SE</t>
  </si>
  <si>
    <t>Z2J18M2SE</t>
  </si>
  <si>
    <t>Z2J04SE</t>
  </si>
  <si>
    <t>Z2S08SE</t>
  </si>
  <si>
    <t>Z2J34SE</t>
  </si>
  <si>
    <t>Z2P13SE</t>
  </si>
  <si>
    <t>Z2P13SECX</t>
  </si>
  <si>
    <t>Z2J04SECX</t>
  </si>
  <si>
    <t>Z2P23SE</t>
  </si>
  <si>
    <t>Z2P23SECX</t>
  </si>
  <si>
    <t>Z2S08SECX</t>
  </si>
  <si>
    <t>Z2U05SE</t>
  </si>
  <si>
    <t>Z2U05SECX</t>
  </si>
  <si>
    <t>Z2U06SE</t>
  </si>
  <si>
    <t>Z2U06SECX</t>
  </si>
  <si>
    <t>Z2J33SE</t>
  </si>
  <si>
    <t>Z2J33SECX</t>
  </si>
  <si>
    <t>Z2J34SECX</t>
  </si>
  <si>
    <t>551BC01.RS1/3</t>
  </si>
  <si>
    <t>551BC01.RS2/4</t>
  </si>
  <si>
    <t>Z2J01XSH1.1 / Z2J01XSH1.2</t>
  </si>
  <si>
    <t>Z2J01XSH2.1 / Z2J01XSH2.2</t>
  </si>
  <si>
    <t>Z2J02XSH1.1 / Z2J02XSH1.2</t>
  </si>
  <si>
    <t>Z2J02XSH2.1 / Z2J02XSH2.2</t>
  </si>
  <si>
    <t>571BE01.LS1</t>
  </si>
  <si>
    <t>VIBRAÇÃO</t>
  </si>
  <si>
    <t>NÍVEL DE ENCHIMENTO DE ENTRADA DO MOINHO</t>
  </si>
  <si>
    <t>NÍVEL DE ENCHIMENTO DE SAÍDA DO MOINHO</t>
  </si>
  <si>
    <t>571BE02.TS1</t>
  </si>
  <si>
    <t>SENSOR PT-100 / EMISSOR (WIRELESS HART)</t>
  </si>
  <si>
    <t>-0,03 bar</t>
  </si>
  <si>
    <t>0 bar</t>
  </si>
  <si>
    <t>400 bar</t>
  </si>
  <si>
    <t>10 bar</t>
  </si>
  <si>
    <t>0,03 bar</t>
  </si>
  <si>
    <t>-0,05 bar</t>
  </si>
  <si>
    <t>-0,07 bar</t>
  </si>
  <si>
    <t>UNIDADE DE LUBRIFICAÇÃO 
MANCAL DE ENTRADA DO MOINHO - Z2M05</t>
  </si>
  <si>
    <t>UNIDADE DE LUBRIFICAÇÃO
MANCAL DE SAÍDA DO MOINHO - Z2M10</t>
  </si>
  <si>
    <t>Z2U11XT1</t>
  </si>
  <si>
    <t>Z2U11XT2</t>
  </si>
  <si>
    <t>P1U21XT1</t>
  </si>
  <si>
    <t>P1U21XT2</t>
  </si>
  <si>
    <t>VÁLVULA ROTATIVA - Z2P43</t>
  </si>
  <si>
    <t>VÁLVULA ROTATIVA - Z2P73</t>
  </si>
  <si>
    <t>VÁLVULA ROTATIVA - P1P113</t>
  </si>
  <si>
    <t>Z2P43SE</t>
  </si>
  <si>
    <t>Z2P43SECX</t>
  </si>
  <si>
    <t>Z2P73SE</t>
  </si>
  <si>
    <t>Z2P73SECX</t>
  </si>
  <si>
    <t>P1P113SE</t>
  </si>
  <si>
    <t>P1P113SECX</t>
  </si>
  <si>
    <t>REGUEIRA - P1U23</t>
  </si>
  <si>
    <t>P1U23LSH1</t>
  </si>
  <si>
    <t>NÍVEL ALTO 1</t>
  </si>
  <si>
    <t>P1U23LSH2</t>
  </si>
  <si>
    <t>P1U23LSH3</t>
  </si>
  <si>
    <t>P1U23LSH4</t>
  </si>
  <si>
    <t>P1U23LSH5</t>
  </si>
  <si>
    <t>P1U23LSH6</t>
  </si>
  <si>
    <t>NÍVEL ALTO 2</t>
  </si>
  <si>
    <t>NÍVEL ALTO 3</t>
  </si>
  <si>
    <t>NÍVEL ALTO 4</t>
  </si>
  <si>
    <t>NÍVEL ALTO 5</t>
  </si>
  <si>
    <t>NÍVEL ALTO 6</t>
  </si>
  <si>
    <t>LISTA DE INSTRUMENTO 
MOAGEM DE CIMENTO Z2</t>
  </si>
  <si>
    <t>SR120-120V</t>
  </si>
  <si>
    <t>PS2-12GX50-N-L + KMV-228/120Vac</t>
  </si>
  <si>
    <t>Z2S01PSL</t>
  </si>
  <si>
    <t>CHAVE FIM DE CURSO</t>
  </si>
  <si>
    <t>Z2U09LSH</t>
  </si>
  <si>
    <t>REGUEIRA DE SAÍDA DO FILTRO Z2P51 - Z2U09</t>
  </si>
  <si>
    <t>Z2U09TE</t>
  </si>
  <si>
    <t>SISTEMA SKF</t>
  </si>
  <si>
    <t>PAINEL DO SISTEMA SKF</t>
  </si>
  <si>
    <t>SKF</t>
  </si>
  <si>
    <t>IMX-8</t>
  </si>
  <si>
    <t>Z2SKFQ3</t>
  </si>
  <si>
    <t>2 x IMX-8</t>
  </si>
  <si>
    <t>Z2SKFQ2</t>
  </si>
  <si>
    <t>Z2U12LSH</t>
  </si>
  <si>
    <t>Z2U15LSH</t>
  </si>
  <si>
    <t>REGUEIRA - Z2U12</t>
  </si>
  <si>
    <t>REGUEIRA - Z2U15</t>
  </si>
  <si>
    <t>Z2SKFQ1</t>
  </si>
  <si>
    <t>VÁLVULA DE CONTROLE PNEUMÁTICO</t>
  </si>
  <si>
    <t>Z2K04SP</t>
  </si>
  <si>
    <t>Z2K04ZT</t>
  </si>
  <si>
    <t>Z2K05SP</t>
  </si>
  <si>
    <t>Z2K05ZT</t>
  </si>
  <si>
    <t>Z2CLP1</t>
  </si>
  <si>
    <t>SINAIS COLETADOS VIA REDE</t>
  </si>
  <si>
    <t>SINAIS COLETADOS VIA REDE
- 1 UNIDADE TRANSMISSOR DE VIBRAÇÃO LA
- 1 UNIDADE TRANSMISSOR DE VIBRAÇÃO LOA</t>
  </si>
  <si>
    <t>SINAIS COLETADOS VIA REDE
- 2 UNIDADES TRANSMISSOR DE VIBRAÇÃO EIXO DE ENTRADA AXIAL
- 6 UNIDADES TRANSMISSOR DE VIBRAÇÃO EIXO DE INTERMEDIÁRIOS RADIAL
- 2 UNIDADES TRANSMISSOR DE VIBRAÇÃO EIXO SUPERIOR AXIAL
- 2 UNIDADES TRANSMISSOR DE VIBRAÇÃO EIXO SUPERIOR RADIAL
- 2 UNIDADES TRANSMISSOR DE VIBRAÇÃO EIXO INFERIOR AXIAL
- 2 UNIDADES TRANSMISSOR DE VIBRAÇÃO EIXO INFERIOR RADIAL</t>
  </si>
  <si>
    <t>SINAIS COLETADOS VIA REDE
- 2 UNIDADES TRANSMISSOR DE VIBRAÇÃO MOTOR PRINCIPAL;
- 3 UNIDADES TRANSMISSOR DE VIBRAÇÃO NO REDUTOR;
- 1 UNIDADE TACÔMETRO NO REDUTOR;
- 2 UNIDADES TRANSMISSOR DE VIBRAÇÃO NOS MANCAIS SUPERIOR E INFERIOR</t>
  </si>
  <si>
    <t>SIRENE - Z2SIR03</t>
  </si>
  <si>
    <t>PRESSÃO DE ÁGUA DO SISTEMA DE INJEÇÃO DE ÁGUA PARA MOINHO</t>
  </si>
  <si>
    <t xml:space="preserve">TRANSMISSOR DE PRESSÃO </t>
  </si>
  <si>
    <t>2,5 bar</t>
  </si>
  <si>
    <t>Z2K01PT1</t>
  </si>
  <si>
    <t>Z2K01PT2</t>
  </si>
  <si>
    <t>Z2K01PT3</t>
  </si>
  <si>
    <t>TEMPERATURA ÓLEO ACOPLAMENTO ELEVADOR Z2U11</t>
  </si>
  <si>
    <t>TEMPERATURA ÓLEO ACOPLAMENTO ELEVADOR Z2J18</t>
  </si>
  <si>
    <t>TEMPERATURA ÓLEO ACOPLAMENTO ELEVADOR Z2J10</t>
  </si>
  <si>
    <t>TEMPERATURA ÓLEO ACOPLAMENTO ELEVADOR P1U21</t>
  </si>
  <si>
    <t>SENSOR - TOPO DO ELEVADOR
VIGIA DE VELOCIDADE</t>
  </si>
  <si>
    <t>E+H</t>
  </si>
  <si>
    <t>FTE20-AA11AA31</t>
  </si>
  <si>
    <t>IG5497+ECV004
DD0203</t>
  </si>
  <si>
    <t>Schneider</t>
  </si>
  <si>
    <t xml:space="preserve"> XSAV11801</t>
  </si>
  <si>
    <t>XSAV11801</t>
  </si>
  <si>
    <t>SIEMENS</t>
  </si>
  <si>
    <t>SITRANS FM MAG 5100 W</t>
  </si>
  <si>
    <t>SITRANS FM MAG 5000</t>
  </si>
  <si>
    <t>SUPMEA</t>
  </si>
  <si>
    <t>P260-B</t>
  </si>
  <si>
    <t>SIEMENS</t>
    <phoneticPr fontId="10" type="noConversion"/>
  </si>
  <si>
    <t>7MF0350-1G01-5BFO-Z</t>
  </si>
  <si>
    <t>7MF0350-1G01-5BFO-Z</t>
    <phoneticPr fontId="10" type="noConversion"/>
  </si>
  <si>
    <t>RUNFLOW</t>
  </si>
  <si>
    <r>
      <t>BV21DP02F3P21
solenoid valve</t>
    </r>
    <r>
      <rPr>
        <sz val="12"/>
        <rFont val="宋体"/>
        <family val="3"/>
        <charset val="134"/>
      </rPr>
      <t>：</t>
    </r>
    <r>
      <rPr>
        <sz val="12"/>
        <rFont val="Arial"/>
        <family val="2"/>
      </rPr>
      <t>ASCO SCG551A001MS</t>
    </r>
  </si>
  <si>
    <t>RUNFLOW</t>
    <phoneticPr fontId="10" type="noConversion"/>
  </si>
  <si>
    <t>CVBVSF2S22-DN20</t>
  </si>
  <si>
    <t>CVBVSF2S22-DN25</t>
    <phoneticPr fontId="10" type="noConversion"/>
  </si>
  <si>
    <t>7MF0300-1JE01-5AF2</t>
  </si>
  <si>
    <t>7MF0300-1JE01-5AF2</t>
    <phoneticPr fontId="10" type="noConversion"/>
  </si>
  <si>
    <t>7MC5516-1LA34-0BA2</t>
  </si>
  <si>
    <t>7MC5516-1LA34-0BA2</t>
    <phoneticPr fontId="10" type="noConversion"/>
  </si>
  <si>
    <t>Nanjing Hengrun</t>
    <phoneticPr fontId="10" type="noConversion"/>
  </si>
  <si>
    <t>WZP-MK-2-B6-0110-IP65-C4H</t>
  </si>
  <si>
    <t>FAST</t>
  </si>
  <si>
    <t>FAST-150LP-2A2+2A1</t>
  </si>
  <si>
    <t>F&amp;B</t>
    <phoneticPr fontId="10" type="noConversion"/>
  </si>
  <si>
    <t>Pt100 L=250</t>
    <phoneticPr fontId="10" type="noConversion"/>
  </si>
  <si>
    <t>Dandong Keliang</t>
    <phoneticPr fontId="10" type="noConversion"/>
  </si>
  <si>
    <t>WZP</t>
    <phoneticPr fontId="10" type="noConversion"/>
  </si>
  <si>
    <t>Schneider</t>
    <phoneticPr fontId="10" type="noConversion"/>
  </si>
  <si>
    <t>WIKA</t>
    <phoneticPr fontId="10" type="noConversion"/>
  </si>
  <si>
    <t>CCS</t>
    <phoneticPr fontId="10" type="noConversion"/>
  </si>
  <si>
    <t>ZNJC01030101</t>
    <phoneticPr fontId="10" type="noConversion"/>
  </si>
  <si>
    <t>Siemens</t>
    <phoneticPr fontId="10" type="noConversion"/>
  </si>
  <si>
    <t>7MF1567</t>
  </si>
  <si>
    <t>7MC5516</t>
    <phoneticPr fontId="10" type="noConversion"/>
  </si>
  <si>
    <t>7MF1567</t>
    <phoneticPr fontId="10" type="noConversion"/>
  </si>
  <si>
    <t>ZNJC03030701</t>
    <phoneticPr fontId="10" type="noConversion"/>
  </si>
  <si>
    <t>CCS</t>
  </si>
  <si>
    <t>JUMO</t>
    <phoneticPr fontId="10" type="noConversion"/>
  </si>
  <si>
    <t>RTD
902050</t>
  </si>
  <si>
    <r>
      <t xml:space="preserve">RTD
</t>
    </r>
    <r>
      <rPr>
        <sz val="12"/>
        <rFont val="Arial"/>
        <family val="2"/>
      </rPr>
      <t>902050</t>
    </r>
  </si>
  <si>
    <t>E+H</t>
    <phoneticPr fontId="10" type="noConversion"/>
  </si>
  <si>
    <t>FTM21-AG242A</t>
  </si>
  <si>
    <t>7MF0340-1DM01-5AF2</t>
    <phoneticPr fontId="10" type="noConversion"/>
  </si>
  <si>
    <t>PMP51B-AABACBH6AA3SCA1VNJA1+VD</t>
  </si>
  <si>
    <t>SCHNEIDER</t>
    <phoneticPr fontId="10" type="noConversion"/>
  </si>
  <si>
    <t>PLC  TM200CE24R</t>
  </si>
  <si>
    <t>7MC5516-1LA43-0BA2</t>
    <phoneticPr fontId="10" type="noConversion"/>
  </si>
  <si>
    <t>KELIANG</t>
    <phoneticPr fontId="10" type="noConversion"/>
  </si>
  <si>
    <t>WZP2*2B-3*2000</t>
  </si>
  <si>
    <t>WZP2*2B-3*2000</t>
    <phoneticPr fontId="10" type="noConversion"/>
  </si>
  <si>
    <t>AUMA</t>
    <phoneticPr fontId="10" type="noConversion"/>
  </si>
  <si>
    <r>
      <t>SAR07.6/AC01.2/GFC100
440V/T</t>
    </r>
    <r>
      <rPr>
        <sz val="12"/>
        <rFont val="宋体"/>
        <family val="3"/>
        <charset val="134"/>
      </rPr>
      <t>≥</t>
    </r>
    <r>
      <rPr>
        <sz val="12"/>
        <rFont val="Arial"/>
        <family val="2"/>
      </rPr>
      <t>2500N.M</t>
    </r>
  </si>
  <si>
    <t>SICK</t>
    <phoneticPr fontId="10" type="noConversion"/>
  </si>
  <si>
    <t>SB30</t>
  </si>
  <si>
    <t>FTM21-AG242A</t>
    <phoneticPr fontId="10" type="noConversion"/>
  </si>
  <si>
    <t>PMP51B-AABACBH6AA3SCA1VNJA1+VD</t>
    <phoneticPr fontId="10" type="noConversion"/>
  </si>
  <si>
    <t>PLC  TM200CE24R</t>
    <phoneticPr fontId="10" type="noConversion"/>
  </si>
  <si>
    <t>PDCEPT03</t>
  </si>
  <si>
    <t>PDCEPT03</t>
    <phoneticPr fontId="10" type="noConversion"/>
  </si>
  <si>
    <t>yangzhou Chaoneng</t>
    <phoneticPr fontId="10" type="noConversion"/>
  </si>
  <si>
    <t>CNQ60-200</t>
  </si>
  <si>
    <t>XCJ103C</t>
    <phoneticPr fontId="10" type="noConversion"/>
  </si>
  <si>
    <t>XSAV11801</t>
    <phoneticPr fontId="10" type="noConversion"/>
  </si>
  <si>
    <t>ASCO</t>
    <phoneticPr fontId="10" type="noConversion"/>
  </si>
  <si>
    <t>SCG353G051</t>
  </si>
  <si>
    <t>SCG353G051</t>
    <phoneticPr fontId="10" type="noConversion"/>
  </si>
  <si>
    <t>SCHENCK</t>
    <phoneticPr fontId="10" type="noConversion"/>
  </si>
  <si>
    <t>VEG 20650/VWF20650</t>
    <phoneticPr fontId="10" type="noConversion"/>
  </si>
  <si>
    <t>XY2CEDB296</t>
  </si>
  <si>
    <t>XCRT115</t>
  </si>
  <si>
    <t>XY2CEDB296</t>
    <phoneticPr fontId="10" type="noConversion"/>
  </si>
  <si>
    <t>XCRT115</t>
    <phoneticPr fontId="10" type="noConversion"/>
  </si>
  <si>
    <t>FESTO</t>
    <phoneticPr fontId="10" type="noConversion"/>
  </si>
  <si>
    <t>DSBG-V200-400-PPVA-N3
MFH-5/2-D-3-C</t>
    <phoneticPr fontId="10" type="noConversion"/>
  </si>
  <si>
    <t>XML B010A2S11</t>
  </si>
  <si>
    <t>WALSH</t>
    <phoneticPr fontId="10" type="noConversion"/>
  </si>
  <si>
    <t>WHPC PULSER CONTROLLER</t>
  </si>
  <si>
    <t>XML B010A2S11</t>
    <phoneticPr fontId="10" type="noConversion"/>
  </si>
  <si>
    <t>TE XSA-V11801</t>
    <phoneticPr fontId="10" type="noConversion"/>
  </si>
  <si>
    <t>WHPC PULSER CONTROLLER</t>
    <phoneticPr fontId="10" type="noConversion"/>
  </si>
  <si>
    <t>FTE20-AA11AA31</t>
    <phoneticPr fontId="10" type="noConversion"/>
  </si>
  <si>
    <t>IG5497+ECV004
DD0203</t>
    <phoneticPr fontId="10" type="noConversion"/>
  </si>
  <si>
    <t xml:space="preserve"> XSAV11801</t>
    <phoneticPr fontId="10" type="noConversion"/>
  </si>
  <si>
    <t>XCMD2102L1</t>
    <phoneticPr fontId="10" type="noConversion"/>
  </si>
  <si>
    <t>XS630B1MAL2</t>
    <phoneticPr fontId="10" type="noConversion"/>
  </si>
  <si>
    <t>MFH-5/2-D-3-C 
 DSBG-V160-400-PPVA-N3</t>
    <phoneticPr fontId="10" type="noConversion"/>
  </si>
  <si>
    <t xml:space="preserve">XS630B1MAL2 </t>
  </si>
  <si>
    <t xml:space="preserve">XS618B1MAL2  </t>
  </si>
  <si>
    <t>KSR</t>
    <phoneticPr fontId="10" type="noConversion"/>
  </si>
  <si>
    <t>7MC5500</t>
    <phoneticPr fontId="10" type="noConversion"/>
  </si>
  <si>
    <t>XCJ110C</t>
    <phoneticPr fontId="10" type="noConversion"/>
  </si>
  <si>
    <t>Motor Winding Temperature</t>
    <phoneticPr fontId="10" type="noConversion"/>
  </si>
  <si>
    <t>PT100</t>
    <phoneticPr fontId="10" type="noConversion"/>
  </si>
  <si>
    <t>571BE01.M1.TS1</t>
  </si>
  <si>
    <t>571BE01.M1.TS2</t>
  </si>
  <si>
    <t>571BE01.M1.TS3</t>
  </si>
  <si>
    <t>Z2J18M1TSH</t>
  </si>
  <si>
    <t>Z2J18ZSH1</t>
  </si>
  <si>
    <t>Z2J18ZSH2</t>
  </si>
  <si>
    <t>Z2M01LT1.1</t>
  </si>
  <si>
    <t>Z2M01LT1.2</t>
  </si>
  <si>
    <t>Z2M01LT1Q1</t>
  </si>
  <si>
    <t>571AD01.TE7</t>
    <phoneticPr fontId="10" type="noConversion"/>
  </si>
  <si>
    <t>TEMPERATURA DO REDUTOR - 7</t>
    <phoneticPr fontId="10" type="noConversion"/>
  </si>
  <si>
    <t>WZP-MK-2-B6-0110-IP65-C4H</t>
    <phoneticPr fontId="10" type="noConversion"/>
  </si>
  <si>
    <t>571AD01.TE8</t>
    <phoneticPr fontId="10" type="noConversion"/>
  </si>
  <si>
    <t>TEMPERATURA DO REDUTOR - 8</t>
    <phoneticPr fontId="10" type="noConversion"/>
  </si>
  <si>
    <t>Z2M02TE7</t>
  </si>
  <si>
    <t>Z2M02TE8</t>
  </si>
  <si>
    <t>Z2J01HS1.1 / Z2J01HS1.2</t>
  </si>
  <si>
    <t>Z2J01HS2.1 / Z2J01HS2.2</t>
  </si>
  <si>
    <t>Z2J01HS1.1 / Z2J01HS1.2 / Z2J01HS1.3</t>
  </si>
  <si>
    <t>Z2J01HS2.1/ Z2J01HS2.2 / Z2J01HS2.3</t>
  </si>
  <si>
    <t>Z2M05PT1</t>
  </si>
  <si>
    <t>Z2M05PT2</t>
  </si>
  <si>
    <t>Z2M05PT3</t>
  </si>
  <si>
    <t>Z2M10PT1</t>
  </si>
  <si>
    <t>Z2M10PT2</t>
  </si>
  <si>
    <t>Z2M10PT3</t>
  </si>
  <si>
    <t>571LQ02.PZ3</t>
  </si>
  <si>
    <t>571LQ01.PZ3</t>
  </si>
  <si>
    <t>571LQ01.LS1</t>
  </si>
  <si>
    <t>PEGAR MODELO NO Z10</t>
  </si>
  <si>
    <t>Z2P11PDT</t>
  </si>
  <si>
    <t>551BF01.PZ1</t>
    <phoneticPr fontId="10" type="noConversion"/>
  </si>
  <si>
    <t>4-20mA</t>
    <phoneticPr fontId="10" type="noConversion"/>
  </si>
  <si>
    <t>7MF0340-1HM01-5SM2-Z B30+D42+E27</t>
    <phoneticPr fontId="10" type="noConversion"/>
  </si>
  <si>
    <t>Z2P11LSH</t>
  </si>
  <si>
    <t>551BF01.LS1</t>
    <phoneticPr fontId="10" type="noConversion"/>
  </si>
  <si>
    <t>120Vca</t>
    <phoneticPr fontId="10" type="noConversion"/>
  </si>
  <si>
    <t>VIGIA DE VELOCIDADE</t>
    <phoneticPr fontId="10" type="noConversion"/>
  </si>
  <si>
    <t>Z2P21PDT</t>
  </si>
  <si>
    <t>551BF02.PZ1</t>
    <phoneticPr fontId="10" type="noConversion"/>
  </si>
  <si>
    <t>FILTRO DE MANGAS - Z2P21</t>
    <phoneticPr fontId="10" type="noConversion"/>
  </si>
  <si>
    <t>Z2P21LSH</t>
  </si>
  <si>
    <t>551BF02.LS1</t>
    <phoneticPr fontId="10" type="noConversion"/>
  </si>
  <si>
    <t>P1P111PDT</t>
  </si>
  <si>
    <t>611BF04.PZ1</t>
    <phoneticPr fontId="10" type="noConversion"/>
  </si>
  <si>
    <t>FILTRO DE MANGAS - P1P111</t>
    <phoneticPr fontId="10" type="noConversion"/>
  </si>
  <si>
    <t>P1P111LSH</t>
  </si>
  <si>
    <t>611BF04.LS1</t>
    <phoneticPr fontId="10" type="noConversion"/>
  </si>
  <si>
    <t>Z2P41PDT</t>
  </si>
  <si>
    <t>611BF01.PZ1</t>
    <phoneticPr fontId="10" type="noConversion"/>
  </si>
  <si>
    <t>FILTRO DE MANGAS - Z2P41</t>
    <phoneticPr fontId="10" type="noConversion"/>
  </si>
  <si>
    <t>Z2P41LSH</t>
  </si>
  <si>
    <t>611BF01.LS1</t>
    <phoneticPr fontId="10" type="noConversion"/>
  </si>
  <si>
    <t xml:space="preserve">SINOMA </t>
  </si>
  <si>
    <t>Z2P61PDT</t>
  </si>
  <si>
    <t>611BF02.PZ1</t>
    <phoneticPr fontId="10" type="noConversion"/>
  </si>
  <si>
    <t>FILTRO DE MANGAS - Z2P61</t>
    <phoneticPr fontId="10" type="noConversion"/>
  </si>
  <si>
    <t>Z2P71PDT</t>
  </si>
  <si>
    <t>611BF03.PZ1</t>
    <phoneticPr fontId="10" type="noConversion"/>
  </si>
  <si>
    <t>FILTRO DE MANGAS - Z2P71</t>
    <phoneticPr fontId="10" type="noConversion"/>
  </si>
  <si>
    <t>Z2P71LSH</t>
  </si>
  <si>
    <t>611BF03.LS1</t>
    <phoneticPr fontId="10" type="noConversion"/>
  </si>
  <si>
    <t>ATENDENDO COMENTÁRIOS</t>
  </si>
  <si>
    <t>Z2J10ZSH1</t>
  </si>
  <si>
    <t>Z2J10ZSH2</t>
  </si>
  <si>
    <t>Z2J10M1TE1</t>
  </si>
  <si>
    <t>Z2J10M1TE2</t>
  </si>
  <si>
    <t>Z2J10M1TE3</t>
  </si>
  <si>
    <t>Z2K10LT</t>
  </si>
  <si>
    <t>TANQUE DE ADITIVOS - Z2K10</t>
  </si>
  <si>
    <t>Z2U19XV</t>
  </si>
  <si>
    <t>Z2U19ZSH</t>
  </si>
  <si>
    <t>Z2U19ZSL</t>
  </si>
  <si>
    <t>Z2U20LSH</t>
  </si>
  <si>
    <t>VÁLVULA DE DESVIO - Z2U19
REGUEIRAS - Z2U20/Z2U21</t>
  </si>
  <si>
    <t>Z2U21LSH</t>
  </si>
  <si>
    <t>Z1U15XV</t>
  </si>
  <si>
    <t>Z1U15ZSH</t>
  </si>
  <si>
    <t>Z1U15ZSL</t>
  </si>
  <si>
    <t>VÁLVULA DE DESVIO - Z1U15
REGUEIRAS - Z1U16/Z1U17</t>
  </si>
  <si>
    <t>REGUEIRA - Z2U20</t>
  </si>
  <si>
    <t>REGUEIRA - Z2U21</t>
  </si>
  <si>
    <t>Z1U16LSH</t>
  </si>
  <si>
    <t>Z1U17LSH</t>
  </si>
  <si>
    <t>REGUEIRA - Z1U17</t>
  </si>
  <si>
    <t>REGUEIRA - Z1U16</t>
  </si>
  <si>
    <t>FORNECIMENTO PELA VOTORANTIM (MECÂNICA)</t>
  </si>
  <si>
    <t>Z2K11LT</t>
  </si>
  <si>
    <t>TANQUE DE ADITIVOS - Z2K11</t>
  </si>
  <si>
    <t>XMLB010A2S11</t>
  </si>
  <si>
    <t>VEGAPULS 31</t>
  </si>
  <si>
    <t>Um sensor, três posições</t>
  </si>
  <si>
    <t>Com a válvula
BOX:ALS-200M2</t>
  </si>
  <si>
    <t>SINAIS COLETADOS VIA REDE
Um sensor, duas posições</t>
  </si>
  <si>
    <t>Um sensor, duas posições</t>
  </si>
  <si>
    <t>Com o atuador</t>
  </si>
  <si>
    <t>Com o damper</t>
  </si>
  <si>
    <t>Um sensor</t>
  </si>
  <si>
    <t>ED-I-Z2000-109</t>
  </si>
  <si>
    <t>ED-I-Z2000-118</t>
  </si>
  <si>
    <t>ED-I-Z2000-122</t>
  </si>
  <si>
    <t>ED-I-Z2000-123</t>
  </si>
  <si>
    <t>6x VÁLVULA SOLENOIDE</t>
  </si>
  <si>
    <t>36x VÁLVULA SOLENOIDE</t>
  </si>
  <si>
    <t>144x VÁLVULA SOLENOIDE</t>
  </si>
  <si>
    <t>3x VÁLVULA SOLENOIDE</t>
  </si>
  <si>
    <t>PRESSÃO BAIXA 
NA LINHA DE AR COMPRIMIDO</t>
  </si>
  <si>
    <t>VÁLVULA DE PURGA</t>
  </si>
  <si>
    <t>GHPC</t>
  </si>
  <si>
    <t>PUT-06-110-D</t>
  </si>
  <si>
    <t>SI5006</t>
  </si>
  <si>
    <t>Z2Y01PT</t>
  </si>
  <si>
    <t>BALÃO DE AR COMPRIMIDO - Z2Y01</t>
  </si>
  <si>
    <t>Z2Y01XV</t>
  </si>
  <si>
    <t>Z2M05TE3</t>
  </si>
  <si>
    <t>Z2M10TE3</t>
  </si>
  <si>
    <t>Z2M15TE3</t>
  </si>
  <si>
    <t>TEMPERATURA AMBIENTE DO TANQUE DA UNIDADE HIDRÁULICA</t>
  </si>
  <si>
    <t>UNIDADE DE LUBRIFICAÇÃO MANCAL DE ENTRADA DO MOINHO - Z2M05</t>
  </si>
  <si>
    <t>UNIDADE DE LUBRIFICAÇÃO MANCAL DE ENTRADA DO MOINHO - Z2M10</t>
  </si>
  <si>
    <t>UNIDADE DE LUBRIFICAÇÃO MANCAL DE ENTRADA DO MOINHO - Z2M15</t>
  </si>
  <si>
    <t>PARA APROVAÇÃO</t>
  </si>
  <si>
    <t>TENSÃO NO TOPO</t>
  </si>
  <si>
    <t>TENSÃO NO PÉ</t>
  </si>
  <si>
    <t>Z2U18SE</t>
  </si>
  <si>
    <t>Z2U18SECX</t>
  </si>
  <si>
    <t>AMOSTRADOR - Z2U18</t>
  </si>
  <si>
    <t>Z2Y02PT</t>
  </si>
  <si>
    <t>Z2Y02XV</t>
  </si>
  <si>
    <t>BALÃO DE AR COMPRIMIDO - Z2Y02</t>
  </si>
  <si>
    <t>CONFORME DOCUMENTOS RECEBIDOS
(INDICADO DE AMARELO)</t>
  </si>
  <si>
    <t>Z2U11ZSH1</t>
  </si>
  <si>
    <t>Z2U11ZSH2</t>
  </si>
  <si>
    <t>P1U21ZSH1</t>
  </si>
  <si>
    <t/>
  </si>
  <si>
    <t>P1U21ZSH2</t>
  </si>
  <si>
    <t>CONFORME COMPRADO PELA MECÂNICA</t>
  </si>
  <si>
    <t>CONFORME DOCUMENTOS RECEBIDOS
(INDICADO DE AZUL)</t>
  </si>
  <si>
    <t>Z2Y03PT</t>
  </si>
  <si>
    <t>Z2Y03XV</t>
  </si>
  <si>
    <t>BALÃO DE AR COMPRIMIDO - Z2Y03</t>
  </si>
  <si>
    <t>BALÃO DE AR COMPRIMIDO -Z2Y03</t>
  </si>
  <si>
    <t>TEMPERATURA 1 DO EIXO SUPERIOR</t>
  </si>
  <si>
    <t>Z10RM4</t>
  </si>
  <si>
    <t>TEMPERATURA 2 DO EIXO SUPERIOR</t>
  </si>
  <si>
    <t>TEMPERATURA 3 DO EIXO SUPERIOR</t>
  </si>
  <si>
    <t>TEMPERATURA 4 DO EIXO SUPERIOR</t>
  </si>
  <si>
    <t>TEMPERATURA 1 DO EIXO INFERIOR</t>
  </si>
  <si>
    <t>TEMPERATURA 2 DO EIXO INFERIOR</t>
  </si>
  <si>
    <t>TEMPERATURA 3 DO EIXO INFERIOR</t>
  </si>
  <si>
    <t>TEMPERATURA 4 DO EIXO INFERIOR</t>
  </si>
  <si>
    <t>Z2M02TE9</t>
  </si>
  <si>
    <t>Z2M02TE10</t>
  </si>
  <si>
    <t>Z2M02TE11</t>
  </si>
  <si>
    <t>Z2M02TE12</t>
  </si>
  <si>
    <t>Z2M02TE13</t>
  </si>
  <si>
    <t>Z2M02TE14</t>
  </si>
  <si>
    <t>Z2M02TE15</t>
  </si>
  <si>
    <t>Z2M02TE16</t>
  </si>
  <si>
    <r>
      <t>500 mg/m</t>
    </r>
    <r>
      <rPr>
        <vertAlign val="superscript"/>
        <sz val="12"/>
        <rFont val="Arial"/>
        <family val="2"/>
      </rPr>
      <t>3</t>
    </r>
  </si>
  <si>
    <t>CONFORME DOCUMENTOS RECEBIDOS
(INDICADO DE MARROM)</t>
  </si>
  <si>
    <t xml:space="preserve">ESTICAMENTO  NO PÉ </t>
  </si>
  <si>
    <t>ESTICAMENTO NO TOPO</t>
  </si>
  <si>
    <t>TEMPERATURA FASE S - Z2J10</t>
  </si>
  <si>
    <t>TEMPERATURA FASE T- Z2J10</t>
  </si>
  <si>
    <t>TEMPERATURA FASE R - Z2J10</t>
  </si>
  <si>
    <t xml:space="preserve">ESTICAMENTO NO PÉ </t>
  </si>
  <si>
    <t>ESTICAMENTO NO PÉ</t>
  </si>
  <si>
    <t>Z2M02XT17</t>
  </si>
  <si>
    <t>Z2M02XT18</t>
  </si>
  <si>
    <t>Z2M03M1XT3</t>
  </si>
  <si>
    <t>Z2M03M1XT4</t>
  </si>
  <si>
    <t>ESCOVA DE ELEVAÇÃO DO MOTOR
 PRINCIPAL DO MOINHO - Z2M03Q2</t>
  </si>
  <si>
    <t>Z2S01XT8</t>
  </si>
  <si>
    <t>Z2S01XT9</t>
  </si>
  <si>
    <t>SU6.4TE1</t>
  </si>
  <si>
    <t>SU6.2TE1</t>
  </si>
  <si>
    <t>SU6.2 - SALA ELÉTRICA DE BAIXA - Z2</t>
  </si>
  <si>
    <t>SU6.4 - SALA ELÉTRICA DE MÉDIA - Z2</t>
  </si>
  <si>
    <t>SU6.4TE2</t>
  </si>
  <si>
    <t>SU6.4 - SALA ELÉTRICA DE MÉDIA - Z2
SALA DO HIDROREOSTATO</t>
  </si>
  <si>
    <t>ED-I-Z2000-129</t>
  </si>
  <si>
    <t>Z2PDT1</t>
  </si>
  <si>
    <t>SU6.2PDT1</t>
  </si>
  <si>
    <t>SU6.4PDT1</t>
  </si>
  <si>
    <t>SU6.4PDT2</t>
  </si>
  <si>
    <t>PRESSÃO DIFERENCIAL DA BAIA DO TRAFO</t>
  </si>
  <si>
    <t>PRESSÃO DIFERENCIAL DA SALA ELÉTRICA</t>
  </si>
  <si>
    <t>ED-I-Z2000-130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</si>
</sst>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"/>
    <numFmt numFmtId="165" formatCode="00"/>
    <numFmt numFmtId="166" formatCode="dd/mm/yy;@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8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i/>
      <sz val="16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sz val="6"/>
      <name val="Arial"/>
      <family val="2"/>
    </font>
    <font>
      <b/>
      <sz val="18"/>
      <name val="Arial"/>
      <family val="2"/>
    </font>
    <font>
      <sz val="5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4"/>
      <name val="Arial"/>
      <family val="2"/>
    </font>
    <font>
      <b/>
      <sz val="16"/>
      <name val="Arial"/>
      <family val="2"/>
    </font>
    <font>
      <vertAlign val="superscript"/>
      <sz val="12"/>
      <name val="Arial"/>
      <family val="2"/>
    </font>
    <font>
      <sz val="12"/>
      <name val="宋体"/>
      <family val="3"/>
      <charset val="134"/>
    </font>
    <font>
      <strike/>
      <sz val="12"/>
      <name val="Arial"/>
      <family val="2"/>
    </font>
    <font>
      <strike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7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21"/>
      </patternFill>
    </fill>
    <fill>
      <patternFill patternType="solid">
        <fgColor indexed="11"/>
        <bgColor indexed="13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19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5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9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8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20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4" fillId="21" borderId="0" applyNumberFormat="0" applyBorder="0" applyAlignment="0" applyProtection="0"/>
    <xf numFmtId="0" fontId="4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22" borderId="0" applyNumberFormat="0" applyBorder="0" applyAlignment="0" applyProtection="0"/>
    <xf numFmtId="0" fontId="5" fillId="7" borderId="0" applyNumberFormat="0" applyBorder="0" applyAlignment="0" applyProtection="0"/>
    <xf numFmtId="0" fontId="6" fillId="23" borderId="1" applyNumberFormat="0" applyAlignment="0" applyProtection="0"/>
    <xf numFmtId="0" fontId="6" fillId="12" borderId="1" applyNumberFormat="0" applyAlignment="0" applyProtection="0"/>
    <xf numFmtId="0" fontId="7" fillId="24" borderId="2" applyNumberFormat="0" applyAlignment="0" applyProtection="0"/>
    <xf numFmtId="0" fontId="8" fillId="0" borderId="3" applyNumberFormat="0" applyFill="0" applyAlignment="0" applyProtection="0"/>
    <xf numFmtId="0" fontId="4" fillId="18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21" borderId="0" applyNumberFormat="0" applyBorder="0" applyAlignment="0" applyProtection="0"/>
    <xf numFmtId="0" fontId="4" fillId="1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9" fillId="4" borderId="1" applyNumberFormat="0" applyAlignment="0" applyProtection="0"/>
    <xf numFmtId="0" fontId="9" fillId="11" borderId="1" applyNumberFormat="0" applyAlignment="0" applyProtection="0"/>
    <xf numFmtId="0" fontId="10" fillId="12" borderId="0" applyNumberFormat="0" applyBorder="0" applyAlignment="0" applyProtection="0"/>
    <xf numFmtId="0" fontId="11" fillId="5" borderId="0" applyNumberFormat="0" applyBorder="0" applyAlignment="0" applyProtection="0"/>
    <xf numFmtId="0" fontId="10" fillId="6" borderId="0" applyNumberFormat="0" applyBorder="0" applyAlignment="0" applyProtection="0"/>
    <xf numFmtId="0" fontId="12" fillId="15" borderId="0" applyNumberFormat="0" applyBorder="0" applyAlignment="0" applyProtection="0"/>
    <xf numFmtId="164" fontId="13" fillId="0" borderId="0"/>
    <xf numFmtId="0" fontId="26" fillId="0" borderId="0"/>
    <xf numFmtId="0" fontId="3" fillId="0" borderId="0"/>
    <xf numFmtId="0" fontId="26" fillId="6" borderId="4" applyNumberFormat="0" applyAlignment="0" applyProtection="0"/>
    <xf numFmtId="10" fontId="26" fillId="0" borderId="0" applyFill="0" applyBorder="0" applyAlignment="0" applyProtection="0"/>
    <xf numFmtId="0" fontId="14" fillId="23" borderId="5" applyNumberFormat="0" applyAlignment="0" applyProtection="0"/>
    <xf numFmtId="0" fontId="14" fillId="12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7" fillId="0" borderId="8" applyNumberFormat="0" applyFill="0" applyAlignment="0" applyProtection="0"/>
    <xf numFmtId="0" fontId="21" fillId="0" borderId="9" applyNumberFormat="0" applyFill="0" applyAlignment="0" applyProtection="0"/>
    <xf numFmtId="0" fontId="28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7" fillId="0" borderId="12" applyNumberFormat="0" applyFill="0" applyAlignment="0" applyProtection="0"/>
    <xf numFmtId="0" fontId="26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</cellStyleXfs>
  <cellXfs count="300">
    <xf numFmtId="0" fontId="0" fillId="0" borderId="0" xfId="0"/>
    <xf numFmtId="0" fontId="10" fillId="0" borderId="0" xfId="0" applyFont="1" applyAlignment="1">
      <alignment horizontal="center" vertical="center"/>
    </xf>
    <xf numFmtId="0" fontId="26" fillId="33" borderId="24" xfId="0" applyFont="1" applyFill="1" applyBorder="1" applyAlignment="1">
      <alignment horizontal="center" vertical="center" wrapText="1"/>
    </xf>
    <xf numFmtId="0" fontId="26" fillId="33" borderId="20" xfId="0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/>
    </xf>
    <xf numFmtId="0" fontId="10" fillId="33" borderId="24" xfId="0" applyFont="1" applyFill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/>
    </xf>
    <xf numFmtId="0" fontId="10" fillId="33" borderId="20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justify" vertical="top" wrapText="1"/>
    </xf>
    <xf numFmtId="0" fontId="26" fillId="0" borderId="45" xfId="0" applyFont="1" applyBorder="1" applyAlignment="1">
      <alignment horizontal="justify" vertical="top" wrapText="1"/>
    </xf>
    <xf numFmtId="0" fontId="26" fillId="0" borderId="47" xfId="0" applyFont="1" applyBorder="1" applyAlignment="1">
      <alignment vertical="top" wrapText="1"/>
    </xf>
    <xf numFmtId="0" fontId="37" fillId="0" borderId="45" xfId="0" applyFont="1" applyBorder="1" applyAlignment="1">
      <alignment horizontal="center" vertical="top" wrapText="1"/>
    </xf>
    <xf numFmtId="0" fontId="24" fillId="0" borderId="61" xfId="0" applyFont="1" applyBorder="1" applyAlignment="1" applyProtection="1">
      <alignment horizontal="center" vertical="center"/>
      <protection locked="0"/>
    </xf>
    <xf numFmtId="0" fontId="24" fillId="0" borderId="16" xfId="0" applyFont="1" applyBorder="1" applyAlignment="1" applyProtection="1">
      <alignment horizontal="center" vertical="center" wrapText="1"/>
      <protection locked="0"/>
    </xf>
    <xf numFmtId="0" fontId="24" fillId="0" borderId="16" xfId="0" applyFont="1" applyBorder="1" applyAlignment="1" applyProtection="1">
      <alignment horizontal="left" vertical="center"/>
      <protection locked="0"/>
    </xf>
    <xf numFmtId="0" fontId="24" fillId="0" borderId="19" xfId="0" applyFont="1" applyBorder="1" applyAlignment="1" applyProtection="1">
      <alignment horizontal="center" vertical="center"/>
      <protection locked="0"/>
    </xf>
    <xf numFmtId="0" fontId="24" fillId="0" borderId="65" xfId="0" applyFont="1" applyBorder="1" applyAlignment="1">
      <alignment horizontal="center" vertical="center"/>
    </xf>
    <xf numFmtId="0" fontId="24" fillId="0" borderId="68" xfId="0" applyFont="1" applyBorder="1" applyAlignment="1" applyProtection="1">
      <alignment horizontal="center" vertical="center"/>
      <protection locked="0"/>
    </xf>
    <xf numFmtId="0" fontId="24" fillId="0" borderId="53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 wrapText="1"/>
    </xf>
    <xf numFmtId="0" fontId="24" fillId="0" borderId="76" xfId="0" applyFont="1" applyBorder="1" applyAlignment="1" applyProtection="1">
      <alignment horizontal="center" vertical="center" wrapText="1"/>
      <protection locked="0"/>
    </xf>
    <xf numFmtId="0" fontId="24" fillId="0" borderId="78" xfId="0" applyFont="1" applyBorder="1" applyAlignment="1" applyProtection="1">
      <alignment horizontal="center" vertical="center" wrapText="1"/>
      <protection locked="0"/>
    </xf>
    <xf numFmtId="0" fontId="24" fillId="0" borderId="84" xfId="0" applyFont="1" applyBorder="1" applyAlignment="1" applyProtection="1">
      <alignment horizontal="center" vertical="center" wrapText="1"/>
      <protection locked="0"/>
    </xf>
    <xf numFmtId="166" fontId="24" fillId="0" borderId="83" xfId="0" applyNumberFormat="1" applyFont="1" applyBorder="1" applyAlignment="1">
      <alignment horizontal="center" vertical="center"/>
    </xf>
    <xf numFmtId="0" fontId="24" fillId="0" borderId="86" xfId="0" applyFont="1" applyBorder="1" applyAlignment="1" applyProtection="1">
      <alignment horizontal="center" vertical="center"/>
      <protection locked="0"/>
    </xf>
    <xf numFmtId="0" fontId="24" fillId="0" borderId="88" xfId="0" applyFont="1" applyBorder="1" applyAlignment="1" applyProtection="1">
      <alignment horizontal="left" vertical="center"/>
      <protection locked="0"/>
    </xf>
    <xf numFmtId="166" fontId="24" fillId="0" borderId="70" xfId="0" applyNumberFormat="1" applyFont="1" applyBorder="1" applyAlignment="1">
      <alignment horizontal="center" vertical="center"/>
    </xf>
    <xf numFmtId="0" fontId="24" fillId="0" borderId="77" xfId="0" applyFont="1" applyBorder="1" applyAlignment="1" applyProtection="1">
      <alignment horizontal="center" vertical="center" wrapText="1"/>
      <protection locked="0"/>
    </xf>
    <xf numFmtId="0" fontId="24" fillId="0" borderId="79" xfId="0" applyFont="1" applyBorder="1" applyAlignment="1" applyProtection="1">
      <alignment horizontal="center" vertical="center" wrapText="1"/>
      <protection locked="0"/>
    </xf>
    <xf numFmtId="0" fontId="25" fillId="33" borderId="20" xfId="0" applyFont="1" applyFill="1" applyBorder="1" applyAlignment="1">
      <alignment horizontal="center" vertical="center" wrapText="1"/>
    </xf>
    <xf numFmtId="0" fontId="25" fillId="33" borderId="20" xfId="0" applyFont="1" applyFill="1" applyBorder="1" applyAlignment="1" applyProtection="1">
      <alignment horizontal="center" vertical="center" wrapText="1"/>
      <protection locked="0"/>
    </xf>
    <xf numFmtId="0" fontId="25" fillId="33" borderId="20" xfId="85" applyFont="1" applyFill="1" applyBorder="1" applyAlignment="1" applyProtection="1">
      <alignment horizontal="center" vertical="center" wrapText="1"/>
      <protection locked="0"/>
    </xf>
    <xf numFmtId="1" fontId="25" fillId="33" borderId="20" xfId="57" applyNumberFormat="1" applyFont="1" applyFill="1" applyBorder="1" applyAlignment="1">
      <alignment horizontal="center" vertical="center" wrapText="1"/>
    </xf>
    <xf numFmtId="0" fontId="25" fillId="33" borderId="20" xfId="85" applyFont="1" applyFill="1" applyBorder="1" applyAlignment="1">
      <alignment horizontal="center" vertical="center" wrapText="1"/>
    </xf>
    <xf numFmtId="0" fontId="25" fillId="33" borderId="46" xfId="0" applyFont="1" applyFill="1" applyBorder="1" applyAlignment="1">
      <alignment horizontal="center" vertical="center" wrapText="1"/>
    </xf>
    <xf numFmtId="0" fontId="25" fillId="33" borderId="82" xfId="0" applyFont="1" applyFill="1" applyBorder="1" applyAlignment="1">
      <alignment horizontal="center" vertical="center" wrapText="1"/>
    </xf>
    <xf numFmtId="0" fontId="25" fillId="33" borderId="82" xfId="0" applyFont="1" applyFill="1" applyBorder="1" applyAlignment="1" applyProtection="1">
      <alignment horizontal="center" vertical="center" wrapText="1"/>
      <protection locked="0"/>
    </xf>
    <xf numFmtId="0" fontId="25" fillId="33" borderId="82" xfId="57" applyFont="1" applyFill="1" applyBorder="1" applyAlignment="1" applyProtection="1">
      <alignment horizontal="center" vertical="center" wrapText="1"/>
      <protection locked="0"/>
    </xf>
    <xf numFmtId="0" fontId="25" fillId="33" borderId="82" xfId="57" applyFont="1" applyFill="1" applyBorder="1" applyAlignment="1">
      <alignment horizontal="center" vertical="center" wrapText="1"/>
    </xf>
    <xf numFmtId="0" fontId="0" fillId="33" borderId="0" xfId="0" applyFill="1"/>
    <xf numFmtId="0" fontId="25" fillId="33" borderId="20" xfId="57" applyFont="1" applyFill="1" applyBorder="1" applyAlignment="1" applyProtection="1">
      <alignment horizontal="center" vertical="center" wrapText="1"/>
      <protection locked="0"/>
    </xf>
    <xf numFmtId="0" fontId="25" fillId="33" borderId="20" xfId="57" applyFont="1" applyFill="1" applyBorder="1" applyAlignment="1">
      <alignment horizontal="center" vertical="center" wrapText="1"/>
    </xf>
    <xf numFmtId="1" fontId="25" fillId="33" borderId="24" xfId="57" applyNumberFormat="1" applyFont="1" applyFill="1" applyBorder="1" applyAlignment="1">
      <alignment horizontal="center" vertical="center" wrapText="1"/>
    </xf>
    <xf numFmtId="0" fontId="25" fillId="33" borderId="25" xfId="0" applyFont="1" applyFill="1" applyBorder="1" applyAlignment="1" applyProtection="1">
      <alignment horizontal="center" vertical="center" wrapText="1"/>
      <protection locked="0"/>
    </xf>
    <xf numFmtId="0" fontId="24" fillId="0" borderId="91" xfId="0" applyFont="1" applyBorder="1" applyAlignment="1" applyProtection="1">
      <alignment horizontal="center" vertical="center" wrapText="1"/>
      <protection locked="0"/>
    </xf>
    <xf numFmtId="0" fontId="24" fillId="0" borderId="96" xfId="0" applyFont="1" applyBorder="1" applyAlignment="1" applyProtection="1">
      <alignment horizontal="center" vertical="center" wrapText="1"/>
      <protection locked="0"/>
    </xf>
    <xf numFmtId="0" fontId="24" fillId="0" borderId="97" xfId="0" applyFont="1" applyBorder="1" applyAlignment="1" applyProtection="1">
      <alignment horizontal="center" vertical="center" wrapText="1"/>
      <protection locked="0"/>
    </xf>
    <xf numFmtId="0" fontId="25" fillId="33" borderId="47" xfId="0" applyFont="1" applyFill="1" applyBorder="1" applyAlignment="1" applyProtection="1">
      <alignment horizontal="center" vertical="center" wrapText="1"/>
      <protection locked="0"/>
    </xf>
    <xf numFmtId="0" fontId="25" fillId="33" borderId="74" xfId="0" applyFont="1" applyFill="1" applyBorder="1" applyAlignment="1">
      <alignment horizontal="center" vertical="center" wrapText="1"/>
    </xf>
    <xf numFmtId="0" fontId="25" fillId="33" borderId="74" xfId="0" applyFont="1" applyFill="1" applyBorder="1" applyAlignment="1" applyProtection="1">
      <alignment horizontal="center" vertical="center" wrapText="1"/>
      <protection locked="0"/>
    </xf>
    <xf numFmtId="0" fontId="25" fillId="33" borderId="74" xfId="85" applyFont="1" applyFill="1" applyBorder="1" applyAlignment="1" applyProtection="1">
      <alignment horizontal="center" vertical="center" wrapText="1"/>
      <protection locked="0"/>
    </xf>
    <xf numFmtId="1" fontId="25" fillId="33" borderId="74" xfId="57" applyNumberFormat="1" applyFont="1" applyFill="1" applyBorder="1" applyAlignment="1">
      <alignment horizontal="center" vertical="center" wrapText="1"/>
    </xf>
    <xf numFmtId="0" fontId="25" fillId="33" borderId="74" xfId="85" applyFont="1" applyFill="1" applyBorder="1" applyAlignment="1">
      <alignment horizontal="center" vertical="center" wrapText="1"/>
    </xf>
    <xf numFmtId="0" fontId="25" fillId="33" borderId="94" xfId="0" applyFont="1" applyFill="1" applyBorder="1" applyAlignment="1" applyProtection="1">
      <alignment horizontal="center" vertical="center" wrapText="1"/>
      <protection locked="0"/>
    </xf>
    <xf numFmtId="1" fontId="25" fillId="33" borderId="98" xfId="57" applyNumberFormat="1" applyFont="1" applyFill="1" applyBorder="1" applyAlignment="1">
      <alignment horizontal="center" vertical="center" wrapText="1"/>
    </xf>
    <xf numFmtId="0" fontId="25" fillId="33" borderId="82" xfId="85" applyFont="1" applyFill="1" applyBorder="1" applyAlignment="1" applyProtection="1">
      <alignment horizontal="center" vertical="center" wrapText="1"/>
      <protection locked="0"/>
    </xf>
    <xf numFmtId="1" fontId="25" fillId="33" borderId="82" xfId="57" applyNumberFormat="1" applyFont="1" applyFill="1" applyBorder="1" applyAlignment="1">
      <alignment horizontal="center" vertical="center" wrapText="1"/>
    </xf>
    <xf numFmtId="0" fontId="25" fillId="33" borderId="82" xfId="85" applyFont="1" applyFill="1" applyBorder="1" applyAlignment="1">
      <alignment horizontal="center" vertical="center" wrapText="1"/>
    </xf>
    <xf numFmtId="9" fontId="25" fillId="33" borderId="20" xfId="57" applyNumberFormat="1" applyFont="1" applyFill="1" applyBorder="1" applyAlignment="1" applyProtection="1">
      <alignment horizontal="center" vertical="center" wrapText="1"/>
      <protection locked="0"/>
    </xf>
    <xf numFmtId="0" fontId="25" fillId="33" borderId="0" xfId="0" applyFont="1" applyFill="1" applyAlignment="1" applyProtection="1">
      <alignment vertical="center" wrapText="1"/>
      <protection locked="0"/>
    </xf>
    <xf numFmtId="9" fontId="25" fillId="33" borderId="20" xfId="85" applyNumberFormat="1" applyFont="1" applyFill="1" applyBorder="1" applyAlignment="1" applyProtection="1">
      <alignment horizontal="center" vertical="center" wrapText="1"/>
      <protection locked="0"/>
    </xf>
    <xf numFmtId="49" fontId="25" fillId="33" borderId="20" xfId="85" applyNumberFormat="1" applyFont="1" applyFill="1" applyBorder="1" applyAlignment="1" applyProtection="1">
      <alignment horizontal="center" vertical="center" wrapText="1"/>
      <protection locked="0"/>
    </xf>
    <xf numFmtId="0" fontId="25" fillId="33" borderId="20" xfId="85" quotePrefix="1" applyFont="1" applyFill="1" applyBorder="1" applyAlignment="1" applyProtection="1">
      <alignment horizontal="center" vertical="center" wrapText="1"/>
      <protection locked="0"/>
    </xf>
    <xf numFmtId="0" fontId="26" fillId="33" borderId="0" xfId="0" applyFont="1" applyFill="1"/>
    <xf numFmtId="0" fontId="25" fillId="33" borderId="20" xfId="57" quotePrefix="1" applyFont="1" applyFill="1" applyBorder="1" applyAlignment="1" applyProtection="1">
      <alignment horizontal="center" vertical="center" wrapText="1"/>
      <protection locked="0"/>
    </xf>
    <xf numFmtId="0" fontId="25" fillId="33" borderId="74" xfId="57" applyFont="1" applyFill="1" applyBorder="1" applyAlignment="1" applyProtection="1">
      <alignment horizontal="center" vertical="center" wrapText="1"/>
      <protection locked="0"/>
    </xf>
    <xf numFmtId="0" fontId="25" fillId="33" borderId="74" xfId="57" applyFont="1" applyFill="1" applyBorder="1" applyAlignment="1">
      <alignment horizontal="center" vertical="center" wrapText="1"/>
    </xf>
    <xf numFmtId="0" fontId="25" fillId="33" borderId="84" xfId="0" applyFont="1" applyFill="1" applyBorder="1" applyAlignment="1" applyProtection="1">
      <alignment horizontal="center" vertical="center" wrapText="1"/>
      <protection locked="0"/>
    </xf>
    <xf numFmtId="0" fontId="25" fillId="33" borderId="76" xfId="0" applyFont="1" applyFill="1" applyBorder="1" applyAlignment="1">
      <alignment horizontal="center" vertical="center" wrapText="1"/>
    </xf>
    <xf numFmtId="0" fontId="25" fillId="33" borderId="73" xfId="0" applyFont="1" applyFill="1" applyBorder="1" applyAlignment="1">
      <alignment horizontal="center" vertical="center" wrapText="1"/>
    </xf>
    <xf numFmtId="0" fontId="25" fillId="33" borderId="73" xfId="0" applyFont="1" applyFill="1" applyBorder="1" applyAlignment="1" applyProtection="1">
      <alignment horizontal="center" vertical="center" wrapText="1"/>
      <protection locked="0"/>
    </xf>
    <xf numFmtId="0" fontId="25" fillId="33" borderId="73" xfId="57" applyFont="1" applyFill="1" applyBorder="1" applyAlignment="1" applyProtection="1">
      <alignment horizontal="center" vertical="center" wrapText="1"/>
      <protection locked="0"/>
    </xf>
    <xf numFmtId="0" fontId="25" fillId="33" borderId="73" xfId="57" applyFont="1" applyFill="1" applyBorder="1" applyAlignment="1">
      <alignment horizontal="center" vertical="center" wrapText="1"/>
    </xf>
    <xf numFmtId="1" fontId="25" fillId="33" borderId="80" xfId="57" applyNumberFormat="1" applyFont="1" applyFill="1" applyBorder="1" applyAlignment="1">
      <alignment horizontal="center" vertical="center" wrapText="1"/>
    </xf>
    <xf numFmtId="0" fontId="25" fillId="33" borderId="81" xfId="0" applyFont="1" applyFill="1" applyBorder="1" applyAlignment="1" applyProtection="1">
      <alignment horizontal="center" vertical="center" wrapText="1"/>
      <protection locked="0"/>
    </xf>
    <xf numFmtId="0" fontId="25" fillId="33" borderId="27" xfId="0" applyFont="1" applyFill="1" applyBorder="1" applyAlignment="1">
      <alignment horizontal="center" vertical="center" wrapText="1"/>
    </xf>
    <xf numFmtId="0" fontId="25" fillId="33" borderId="71" xfId="0" applyFont="1" applyFill="1" applyBorder="1" applyAlignment="1" applyProtection="1">
      <alignment horizontal="center" vertical="center" wrapText="1"/>
      <protection locked="0"/>
    </xf>
    <xf numFmtId="0" fontId="25" fillId="33" borderId="71" xfId="85" applyFont="1" applyFill="1" applyBorder="1" applyAlignment="1" applyProtection="1">
      <alignment horizontal="center" vertical="center" wrapText="1"/>
      <protection locked="0"/>
    </xf>
    <xf numFmtId="0" fontId="25" fillId="33" borderId="71" xfId="0" applyFont="1" applyFill="1" applyBorder="1" applyAlignment="1">
      <alignment horizontal="center" vertical="center" wrapText="1"/>
    </xf>
    <xf numFmtId="0" fontId="25" fillId="33" borderId="26" xfId="0" applyFont="1" applyFill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0" xfId="0" applyFont="1" applyBorder="1" applyAlignment="1" applyProtection="1">
      <alignment horizontal="center" vertical="center" wrapText="1"/>
      <protection locked="0"/>
    </xf>
    <xf numFmtId="0" fontId="25" fillId="0" borderId="20" xfId="85" applyFont="1" applyBorder="1" applyAlignment="1" applyProtection="1">
      <alignment horizontal="center" vertical="center" wrapText="1"/>
      <protection locked="0"/>
    </xf>
    <xf numFmtId="1" fontId="25" fillId="0" borderId="20" xfId="57" applyNumberFormat="1" applyFont="1" applyBorder="1" applyAlignment="1">
      <alignment horizontal="center" vertical="center" wrapText="1"/>
    </xf>
    <xf numFmtId="0" fontId="25" fillId="0" borderId="20" xfId="85" applyFont="1" applyBorder="1" applyAlignment="1">
      <alignment horizontal="center" vertical="center" wrapText="1"/>
    </xf>
    <xf numFmtId="0" fontId="25" fillId="0" borderId="25" xfId="0" applyFont="1" applyBorder="1" applyAlignment="1" applyProtection="1">
      <alignment horizontal="center" vertical="center" wrapText="1"/>
      <protection locked="0"/>
    </xf>
    <xf numFmtId="0" fontId="25" fillId="0" borderId="82" xfId="0" applyFont="1" applyBorder="1" applyAlignment="1">
      <alignment horizontal="center" vertical="center" wrapText="1"/>
    </xf>
    <xf numFmtId="0" fontId="24" fillId="33" borderId="84" xfId="0" applyFont="1" applyFill="1" applyBorder="1" applyAlignment="1" applyProtection="1">
      <alignment horizontal="center" vertical="center" wrapText="1"/>
      <protection locked="0"/>
    </xf>
    <xf numFmtId="0" fontId="24" fillId="33" borderId="76" xfId="0" applyFont="1" applyFill="1" applyBorder="1" applyAlignment="1" applyProtection="1">
      <alignment horizontal="center" vertical="center" wrapText="1"/>
      <protection locked="0"/>
    </xf>
    <xf numFmtId="0" fontId="25" fillId="34" borderId="20" xfId="0" applyFont="1" applyFill="1" applyBorder="1" applyAlignment="1">
      <alignment horizontal="center" vertical="center" wrapText="1"/>
    </xf>
    <xf numFmtId="0" fontId="25" fillId="34" borderId="20" xfId="0" applyFont="1" applyFill="1" applyBorder="1" applyAlignment="1" applyProtection="1">
      <alignment horizontal="center" vertical="center" wrapText="1"/>
      <protection locked="0"/>
    </xf>
    <xf numFmtId="0" fontId="25" fillId="34" borderId="20" xfId="85" applyFont="1" applyFill="1" applyBorder="1" applyAlignment="1" applyProtection="1">
      <alignment horizontal="center" vertical="center" wrapText="1"/>
      <protection locked="0"/>
    </xf>
    <xf numFmtId="1" fontId="25" fillId="34" borderId="20" xfId="57" applyNumberFormat="1" applyFont="1" applyFill="1" applyBorder="1" applyAlignment="1">
      <alignment horizontal="center" vertical="center" wrapText="1"/>
    </xf>
    <xf numFmtId="0" fontId="25" fillId="34" borderId="20" xfId="85" applyFont="1" applyFill="1" applyBorder="1" applyAlignment="1">
      <alignment horizontal="center" vertical="center" wrapText="1"/>
    </xf>
    <xf numFmtId="0" fontId="25" fillId="34" borderId="25" xfId="0" applyFont="1" applyFill="1" applyBorder="1" applyAlignment="1" applyProtection="1">
      <alignment horizontal="center" vertical="center" wrapText="1"/>
      <protection locked="0"/>
    </xf>
    <xf numFmtId="0" fontId="0" fillId="34" borderId="0" xfId="0" applyFill="1"/>
    <xf numFmtId="0" fontId="25" fillId="33" borderId="20" xfId="0" quotePrefix="1" applyFont="1" applyFill="1" applyBorder="1" applyAlignment="1">
      <alignment horizontal="center" vertical="center" wrapText="1"/>
    </xf>
    <xf numFmtId="0" fontId="40" fillId="35" borderId="20" xfId="0" applyFont="1" applyFill="1" applyBorder="1" applyAlignment="1">
      <alignment horizontal="center" vertical="center" wrapText="1"/>
    </xf>
    <xf numFmtId="0" fontId="40" fillId="35" borderId="20" xfId="0" applyFont="1" applyFill="1" applyBorder="1" applyAlignment="1" applyProtection="1">
      <alignment horizontal="center" vertical="center" wrapText="1"/>
      <protection locked="0"/>
    </xf>
    <xf numFmtId="0" fontId="40" fillId="35" borderId="20" xfId="85" applyFont="1" applyFill="1" applyBorder="1" applyAlignment="1" applyProtection="1">
      <alignment horizontal="center" vertical="center" wrapText="1"/>
      <protection locked="0"/>
    </xf>
    <xf numFmtId="0" fontId="40" fillId="35" borderId="20" xfId="57" applyFont="1" applyFill="1" applyBorder="1" applyAlignment="1" applyProtection="1">
      <alignment horizontal="center" vertical="center" wrapText="1"/>
      <protection locked="0"/>
    </xf>
    <xf numFmtId="1" fontId="40" fillId="35" borderId="20" xfId="57" applyNumberFormat="1" applyFont="1" applyFill="1" applyBorder="1" applyAlignment="1">
      <alignment horizontal="center" vertical="center" wrapText="1"/>
    </xf>
    <xf numFmtId="0" fontId="40" fillId="35" borderId="25" xfId="0" applyFont="1" applyFill="1" applyBorder="1" applyAlignment="1" applyProtection="1">
      <alignment horizontal="center" vertical="center" wrapText="1"/>
      <protection locked="0"/>
    </xf>
    <xf numFmtId="0" fontId="41" fillId="35" borderId="0" xfId="0" applyFont="1" applyFill="1"/>
    <xf numFmtId="1" fontId="25" fillId="36" borderId="20" xfId="57" applyNumberFormat="1" applyFont="1" applyFill="1" applyBorder="1" applyAlignment="1">
      <alignment horizontal="center" vertical="center" wrapText="1"/>
    </xf>
    <xf numFmtId="0" fontId="25" fillId="36" borderId="20" xfId="85" applyFont="1" applyFill="1" applyBorder="1" applyAlignment="1">
      <alignment horizontal="center" vertical="center" wrapText="1"/>
    </xf>
    <xf numFmtId="0" fontId="25" fillId="36" borderId="20" xfId="0" applyFont="1" applyFill="1" applyBorder="1" applyAlignment="1" applyProtection="1">
      <alignment horizontal="center" vertical="center" wrapText="1"/>
      <protection locked="0"/>
    </xf>
    <xf numFmtId="0" fontId="25" fillId="36" borderId="25" xfId="0" applyFont="1" applyFill="1" applyBorder="1" applyAlignment="1" applyProtection="1">
      <alignment horizontal="center" vertical="center" wrapText="1"/>
      <protection locked="0"/>
    </xf>
    <xf numFmtId="0" fontId="25" fillId="36" borderId="20" xfId="0" applyFont="1" applyFill="1" applyBorder="1" applyAlignment="1">
      <alignment horizontal="center" vertical="center" wrapText="1"/>
    </xf>
    <xf numFmtId="0" fontId="25" fillId="36" borderId="20" xfId="85" applyFont="1" applyFill="1" applyBorder="1" applyAlignment="1" applyProtection="1">
      <alignment horizontal="center" vertical="center" wrapText="1"/>
      <protection locked="0"/>
    </xf>
    <xf numFmtId="0" fontId="25" fillId="36" borderId="82" xfId="0" applyFont="1" applyFill="1" applyBorder="1" applyAlignment="1" applyProtection="1">
      <alignment horizontal="center" vertical="center" wrapText="1"/>
      <protection locked="0"/>
    </xf>
    <xf numFmtId="0" fontId="0" fillId="37" borderId="0" xfId="0" applyFill="1"/>
    <xf numFmtId="0" fontId="0" fillId="36" borderId="0" xfId="0" applyFill="1"/>
    <xf numFmtId="0" fontId="25" fillId="37" borderId="20" xfId="0" applyFont="1" applyFill="1" applyBorder="1" applyAlignment="1">
      <alignment horizontal="center" vertical="center" wrapText="1"/>
    </xf>
    <xf numFmtId="0" fontId="25" fillId="37" borderId="20" xfId="0" applyFont="1" applyFill="1" applyBorder="1" applyAlignment="1" applyProtection="1">
      <alignment horizontal="center" vertical="center" wrapText="1"/>
      <protection locked="0"/>
    </xf>
    <xf numFmtId="0" fontId="25" fillId="37" borderId="20" xfId="57" applyFont="1" applyFill="1" applyBorder="1" applyAlignment="1" applyProtection="1">
      <alignment horizontal="center" vertical="center" wrapText="1"/>
      <protection locked="0"/>
    </xf>
    <xf numFmtId="1" fontId="25" fillId="37" borderId="20" xfId="57" applyNumberFormat="1" applyFont="1" applyFill="1" applyBorder="1" applyAlignment="1">
      <alignment horizontal="center" vertical="center" wrapText="1"/>
    </xf>
    <xf numFmtId="0" fontId="25" fillId="37" borderId="25" xfId="0" applyFont="1" applyFill="1" applyBorder="1" applyAlignment="1" applyProtection="1">
      <alignment horizontal="center" vertical="center" wrapText="1"/>
      <protection locked="0"/>
    </xf>
    <xf numFmtId="0" fontId="25" fillId="37" borderId="20" xfId="85" applyFont="1" applyFill="1" applyBorder="1" applyAlignment="1" applyProtection="1">
      <alignment horizontal="center" vertical="center" wrapText="1"/>
      <protection locked="0"/>
    </xf>
    <xf numFmtId="0" fontId="25" fillId="37" borderId="20" xfId="85" applyFont="1" applyFill="1" applyBorder="1" applyAlignment="1">
      <alignment horizontal="center" vertical="center" wrapText="1"/>
    </xf>
    <xf numFmtId="0" fontId="25" fillId="36" borderId="74" xfId="0" applyFont="1" applyFill="1" applyBorder="1" applyAlignment="1">
      <alignment horizontal="center" vertical="center" wrapText="1"/>
    </xf>
    <xf numFmtId="0" fontId="25" fillId="36" borderId="74" xfId="0" applyFont="1" applyFill="1" applyBorder="1" applyAlignment="1" applyProtection="1">
      <alignment horizontal="center" vertical="center" wrapText="1"/>
      <protection locked="0"/>
    </xf>
    <xf numFmtId="0" fontId="25" fillId="36" borderId="74" xfId="85" applyFont="1" applyFill="1" applyBorder="1" applyAlignment="1" applyProtection="1">
      <alignment horizontal="center" vertical="center" wrapText="1"/>
      <protection locked="0"/>
    </xf>
    <xf numFmtId="1" fontId="25" fillId="36" borderId="74" xfId="57" applyNumberFormat="1" applyFont="1" applyFill="1" applyBorder="1" applyAlignment="1">
      <alignment horizontal="center" vertical="center" wrapText="1"/>
    </xf>
    <xf numFmtId="0" fontId="25" fillId="36" borderId="74" xfId="85" applyFont="1" applyFill="1" applyBorder="1" applyAlignment="1">
      <alignment horizontal="center" vertical="center" wrapText="1"/>
    </xf>
    <xf numFmtId="0" fontId="25" fillId="36" borderId="94" xfId="0" applyFont="1" applyFill="1" applyBorder="1" applyAlignment="1" applyProtection="1">
      <alignment horizontal="center" vertical="center" wrapText="1"/>
      <protection locked="0"/>
    </xf>
    <xf numFmtId="0" fontId="26" fillId="0" borderId="0" xfId="0" applyFont="1"/>
    <xf numFmtId="0" fontId="26" fillId="37" borderId="0" xfId="0" applyFont="1" applyFill="1"/>
    <xf numFmtId="0" fontId="24" fillId="0" borderId="75" xfId="0" applyFont="1" applyBorder="1" applyAlignment="1" applyProtection="1">
      <alignment horizontal="center" vertical="center" wrapText="1"/>
      <protection locked="0"/>
    </xf>
    <xf numFmtId="1" fontId="25" fillId="0" borderId="72" xfId="57" applyNumberFormat="1" applyFont="1" applyBorder="1" applyAlignment="1">
      <alignment horizontal="center" vertical="center" wrapText="1"/>
    </xf>
    <xf numFmtId="1" fontId="25" fillId="0" borderId="38" xfId="57" applyNumberFormat="1" applyFont="1" applyBorder="1" applyAlignment="1">
      <alignment horizontal="center" vertical="center" wrapText="1"/>
    </xf>
    <xf numFmtId="0" fontId="34" fillId="0" borderId="33" xfId="58" applyFont="1" applyBorder="1" applyAlignment="1">
      <alignment horizontal="center" vertical="top" wrapText="1"/>
    </xf>
    <xf numFmtId="0" fontId="34" fillId="0" borderId="0" xfId="58" applyFont="1" applyAlignment="1">
      <alignment horizontal="center" vertical="top" wrapText="1"/>
    </xf>
    <xf numFmtId="0" fontId="34" fillId="0" borderId="34" xfId="58" applyFont="1" applyBorder="1" applyAlignment="1">
      <alignment horizontal="center" vertical="top" wrapText="1"/>
    </xf>
    <xf numFmtId="0" fontId="29" fillId="0" borderId="51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36" fillId="0" borderId="30" xfId="0" applyFont="1" applyBorder="1" applyAlignment="1">
      <alignment horizontal="justify" vertical="top" wrapText="1"/>
    </xf>
    <xf numFmtId="0" fontId="36" fillId="0" borderId="31" xfId="0" applyFont="1" applyBorder="1" applyAlignment="1">
      <alignment horizontal="justify" vertical="top" wrapText="1"/>
    </xf>
    <xf numFmtId="0" fontId="36" fillId="0" borderId="39" xfId="0" applyFont="1" applyBorder="1" applyAlignment="1">
      <alignment horizontal="justify" vertical="top" wrapText="1"/>
    </xf>
    <xf numFmtId="0" fontId="36" fillId="0" borderId="40" xfId="0" applyFont="1" applyBorder="1" applyAlignment="1">
      <alignment horizontal="justify" vertical="top" wrapText="1"/>
    </xf>
    <xf numFmtId="0" fontId="36" fillId="0" borderId="32" xfId="0" applyFont="1" applyBorder="1" applyAlignment="1">
      <alignment horizontal="justify" vertical="top" wrapText="1"/>
    </xf>
    <xf numFmtId="0" fontId="26" fillId="0" borderId="33" xfId="0" applyFont="1" applyBorder="1" applyAlignment="1">
      <alignment horizontal="justify" vertical="top" wrapText="1"/>
    </xf>
    <xf numFmtId="0" fontId="26" fillId="0" borderId="0" xfId="0" applyFont="1" applyAlignment="1">
      <alignment horizontal="justify" vertical="top" wrapText="1"/>
    </xf>
    <xf numFmtId="0" fontId="26" fillId="0" borderId="41" xfId="0" applyFont="1" applyBorder="1" applyAlignment="1">
      <alignment horizontal="justify" vertical="top" wrapText="1"/>
    </xf>
    <xf numFmtId="0" fontId="26" fillId="0" borderId="42" xfId="0" applyFont="1" applyBorder="1" applyAlignment="1">
      <alignment horizontal="justify" vertical="top" wrapText="1"/>
    </xf>
    <xf numFmtId="14" fontId="29" fillId="0" borderId="48" xfId="0" applyNumberFormat="1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justify" vertical="top" wrapText="1"/>
    </xf>
    <xf numFmtId="0" fontId="26" fillId="0" borderId="30" xfId="0" applyFont="1" applyBorder="1" applyAlignment="1">
      <alignment wrapText="1"/>
    </xf>
    <xf numFmtId="0" fontId="26" fillId="0" borderId="31" xfId="0" applyFont="1" applyBorder="1" applyAlignment="1">
      <alignment wrapText="1"/>
    </xf>
    <xf numFmtId="0" fontId="26" fillId="0" borderId="39" xfId="0" applyFont="1" applyBorder="1" applyAlignment="1">
      <alignment wrapText="1"/>
    </xf>
    <xf numFmtId="0" fontId="26" fillId="0" borderId="33" xfId="0" applyFont="1" applyBorder="1" applyAlignment="1">
      <alignment wrapText="1"/>
    </xf>
    <xf numFmtId="0" fontId="26" fillId="0" borderId="0" xfId="0" applyFont="1" applyAlignment="1">
      <alignment wrapText="1"/>
    </xf>
    <xf numFmtId="0" fontId="26" fillId="0" borderId="41" xfId="0" applyFont="1" applyBorder="1" applyAlignment="1">
      <alignment wrapText="1"/>
    </xf>
    <xf numFmtId="0" fontId="26" fillId="0" borderId="35" xfId="0" applyFont="1" applyBorder="1" applyAlignment="1">
      <alignment wrapText="1"/>
    </xf>
    <xf numFmtId="0" fontId="26" fillId="0" borderId="36" xfId="0" applyFont="1" applyBorder="1" applyAlignment="1">
      <alignment wrapText="1"/>
    </xf>
    <xf numFmtId="0" fontId="26" fillId="0" borderId="46" xfId="0" applyFont="1" applyBorder="1" applyAlignment="1">
      <alignment wrapText="1"/>
    </xf>
    <xf numFmtId="0" fontId="31" fillId="0" borderId="40" xfId="0" applyFont="1" applyBorder="1" applyAlignment="1">
      <alignment horizontal="justify" vertical="top" wrapText="1"/>
    </xf>
    <xf numFmtId="0" fontId="31" fillId="0" borderId="31" xfId="0" applyFont="1" applyBorder="1" applyAlignment="1">
      <alignment horizontal="justify" vertical="top" wrapText="1"/>
    </xf>
    <xf numFmtId="0" fontId="31" fillId="0" borderId="32" xfId="0" applyFont="1" applyBorder="1" applyAlignment="1">
      <alignment horizontal="justify" vertical="top" wrapText="1"/>
    </xf>
    <xf numFmtId="0" fontId="31" fillId="0" borderId="42" xfId="0" applyFont="1" applyBorder="1" applyAlignment="1">
      <alignment horizontal="justify" vertical="top" wrapText="1"/>
    </xf>
    <xf numFmtId="0" fontId="31" fillId="0" borderId="0" xfId="0" applyFont="1" applyAlignment="1">
      <alignment horizontal="justify" vertical="top" wrapText="1"/>
    </xf>
    <xf numFmtId="0" fontId="31" fillId="0" borderId="34" xfId="0" applyFont="1" applyBorder="1" applyAlignment="1">
      <alignment horizontal="justify" vertical="top" wrapText="1"/>
    </xf>
    <xf numFmtId="0" fontId="32" fillId="0" borderId="42" xfId="0" applyFont="1" applyBorder="1" applyAlignment="1">
      <alignment horizontal="center" vertical="top" wrapText="1"/>
    </xf>
    <xf numFmtId="0" fontId="32" fillId="0" borderId="0" xfId="0" applyFont="1" applyAlignment="1">
      <alignment horizontal="center" vertical="top" wrapText="1"/>
    </xf>
    <xf numFmtId="0" fontId="32" fillId="0" borderId="34" xfId="0" applyFont="1" applyBorder="1" applyAlignment="1">
      <alignment horizontal="center" vertical="top" wrapText="1"/>
    </xf>
    <xf numFmtId="0" fontId="26" fillId="0" borderId="43" xfId="0" applyFont="1" applyBorder="1" applyAlignment="1">
      <alignment horizontal="justify" vertical="top" wrapText="1"/>
    </xf>
    <xf numFmtId="0" fontId="26" fillId="0" borderId="36" xfId="0" applyFont="1" applyBorder="1" applyAlignment="1">
      <alignment horizontal="justify" vertical="top" wrapText="1"/>
    </xf>
    <xf numFmtId="0" fontId="26" fillId="0" borderId="37" xfId="0" applyFont="1" applyBorder="1" applyAlignment="1">
      <alignment horizontal="justify" vertical="top" wrapText="1"/>
    </xf>
    <xf numFmtId="0" fontId="31" fillId="0" borderId="39" xfId="0" applyFont="1" applyBorder="1" applyAlignment="1">
      <alignment horizontal="justify" vertical="top" wrapText="1"/>
    </xf>
    <xf numFmtId="14" fontId="30" fillId="0" borderId="42" xfId="0" applyNumberFormat="1" applyFont="1" applyBorder="1" applyAlignment="1">
      <alignment horizontal="center" vertical="top" wrapText="1"/>
    </xf>
    <xf numFmtId="14" fontId="30" fillId="0" borderId="0" xfId="0" applyNumberFormat="1" applyFont="1" applyAlignment="1">
      <alignment horizontal="center" vertical="top" wrapText="1"/>
    </xf>
    <xf numFmtId="14" fontId="30" fillId="0" borderId="41" xfId="0" applyNumberFormat="1" applyFont="1" applyBorder="1" applyAlignment="1">
      <alignment horizontal="center" vertical="top" wrapText="1"/>
    </xf>
    <xf numFmtId="0" fontId="26" fillId="0" borderId="43" xfId="0" applyFont="1" applyBorder="1" applyAlignment="1">
      <alignment horizontal="center" vertical="top" wrapText="1"/>
    </xf>
    <xf numFmtId="0" fontId="26" fillId="0" borderId="36" xfId="0" applyFont="1" applyBorder="1" applyAlignment="1">
      <alignment horizontal="center" vertical="top" wrapText="1"/>
    </xf>
    <xf numFmtId="0" fontId="26" fillId="0" borderId="46" xfId="0" applyFont="1" applyBorder="1" applyAlignment="1">
      <alignment horizontal="center" vertical="top" wrapText="1"/>
    </xf>
    <xf numFmtId="0" fontId="26" fillId="0" borderId="38" xfId="0" applyFont="1" applyBorder="1" applyAlignment="1">
      <alignment horizontal="center" vertical="top" wrapText="1"/>
    </xf>
    <xf numFmtId="0" fontId="26" fillId="0" borderId="28" xfId="0" applyFont="1" applyBorder="1" applyAlignment="1">
      <alignment horizontal="center" vertical="top" wrapText="1"/>
    </xf>
    <xf numFmtId="0" fontId="26" fillId="0" borderId="29" xfId="0" applyFont="1" applyBorder="1" applyAlignment="1">
      <alignment horizontal="center" vertical="top" wrapText="1"/>
    </xf>
    <xf numFmtId="0" fontId="33" fillId="0" borderId="38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34" fillId="0" borderId="26" xfId="58" applyFont="1" applyBorder="1" applyAlignment="1">
      <alignment horizontal="center" vertical="center" wrapText="1"/>
    </xf>
    <xf numFmtId="0" fontId="35" fillId="0" borderId="28" xfId="58" applyFont="1" applyBorder="1" applyAlignment="1">
      <alignment horizontal="center" vertical="center" wrapText="1"/>
    </xf>
    <xf numFmtId="0" fontId="35" fillId="0" borderId="29" xfId="58" applyFont="1" applyBorder="1" applyAlignment="1">
      <alignment horizontal="center" vertical="center" wrapText="1"/>
    </xf>
    <xf numFmtId="0" fontId="25" fillId="0" borderId="30" xfId="0" applyFont="1" applyBorder="1" applyAlignment="1">
      <alignment horizontal="justify" vertical="top" wrapText="1"/>
    </xf>
    <xf numFmtId="0" fontId="25" fillId="0" borderId="31" xfId="0" applyFont="1" applyBorder="1" applyAlignment="1">
      <alignment horizontal="justify" vertical="top" wrapText="1"/>
    </xf>
    <xf numFmtId="0" fontId="25" fillId="0" borderId="32" xfId="0" applyFont="1" applyBorder="1" applyAlignment="1">
      <alignment horizontal="justify" vertical="top" wrapText="1"/>
    </xf>
    <xf numFmtId="0" fontId="29" fillId="0" borderId="38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31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4" fontId="10" fillId="0" borderId="26" xfId="0" applyNumberFormat="1" applyFont="1" applyBorder="1" applyAlignment="1">
      <alignment horizontal="center" vertical="center" wrapText="1"/>
    </xf>
    <xf numFmtId="14" fontId="10" fillId="0" borderId="29" xfId="0" applyNumberFormat="1" applyFont="1" applyBorder="1" applyAlignment="1">
      <alignment horizontal="center" vertical="center" wrapText="1"/>
    </xf>
    <xf numFmtId="0" fontId="26" fillId="33" borderId="21" xfId="0" applyFont="1" applyFill="1" applyBorder="1" applyAlignment="1">
      <alignment horizontal="center" vertical="center" wrapText="1"/>
    </xf>
    <xf numFmtId="0" fontId="26" fillId="33" borderId="22" xfId="0" applyFont="1" applyFill="1" applyBorder="1" applyAlignment="1">
      <alignment horizontal="center" vertical="center" wrapText="1"/>
    </xf>
    <xf numFmtId="0" fontId="26" fillId="33" borderId="23" xfId="0" applyFont="1" applyFill="1" applyBorder="1" applyAlignment="1">
      <alignment horizontal="center" vertical="center" wrapText="1"/>
    </xf>
    <xf numFmtId="0" fontId="26" fillId="33" borderId="20" xfId="0" applyFont="1" applyFill="1" applyBorder="1" applyAlignment="1">
      <alignment horizontal="center" vertical="center" wrapText="1"/>
    </xf>
    <xf numFmtId="0" fontId="26" fillId="33" borderId="25" xfId="0" applyFont="1" applyFill="1" applyBorder="1" applyAlignment="1">
      <alignment horizontal="center" vertical="center" wrapText="1"/>
    </xf>
    <xf numFmtId="0" fontId="10" fillId="37" borderId="26" xfId="0" applyFont="1" applyFill="1" applyBorder="1" applyAlignment="1">
      <alignment horizontal="center" vertical="center" wrapText="1"/>
    </xf>
    <xf numFmtId="0" fontId="10" fillId="37" borderId="28" xfId="0" applyFont="1" applyFill="1" applyBorder="1" applyAlignment="1">
      <alignment horizontal="center" vertical="center" wrapText="1"/>
    </xf>
    <xf numFmtId="0" fontId="10" fillId="37" borderId="27" xfId="0" applyFont="1" applyFill="1" applyBorder="1" applyAlignment="1">
      <alignment horizontal="center" vertical="center" wrapText="1"/>
    </xf>
    <xf numFmtId="0" fontId="10" fillId="33" borderId="26" xfId="0" applyFont="1" applyFill="1" applyBorder="1" applyAlignment="1">
      <alignment horizontal="center" vertical="center" wrapText="1"/>
    </xf>
    <xf numFmtId="0" fontId="10" fillId="33" borderId="27" xfId="0" applyFont="1" applyFill="1" applyBorder="1" applyAlignment="1">
      <alignment horizontal="center" vertical="center" wrapText="1"/>
    </xf>
    <xf numFmtId="0" fontId="10" fillId="33" borderId="28" xfId="0" applyFont="1" applyFill="1" applyBorder="1" applyAlignment="1">
      <alignment horizontal="center" vertical="center" wrapText="1"/>
    </xf>
    <xf numFmtId="14" fontId="10" fillId="33" borderId="26" xfId="0" applyNumberFormat="1" applyFont="1" applyFill="1" applyBorder="1" applyAlignment="1">
      <alignment horizontal="center" vertical="center" wrapText="1"/>
    </xf>
    <xf numFmtId="14" fontId="10" fillId="33" borderId="29" xfId="0" applyNumberFormat="1" applyFont="1" applyFill="1" applyBorder="1" applyAlignment="1">
      <alignment horizontal="center" vertical="center" wrapText="1"/>
    </xf>
    <xf numFmtId="0" fontId="10" fillId="34" borderId="26" xfId="0" applyFont="1" applyFill="1" applyBorder="1" applyAlignment="1">
      <alignment horizontal="center" vertical="center" wrapText="1"/>
    </xf>
    <xf numFmtId="0" fontId="10" fillId="34" borderId="28" xfId="0" applyFont="1" applyFill="1" applyBorder="1" applyAlignment="1">
      <alignment horizontal="center" vertical="center" wrapText="1"/>
    </xf>
    <xf numFmtId="0" fontId="10" fillId="34" borderId="27" xfId="0" applyFont="1" applyFill="1" applyBorder="1" applyAlignment="1">
      <alignment horizontal="center" vertical="center" wrapText="1"/>
    </xf>
    <xf numFmtId="0" fontId="10" fillId="33" borderId="20" xfId="0" applyFont="1" applyFill="1" applyBorder="1" applyAlignment="1">
      <alignment horizontal="center" vertical="center" wrapText="1"/>
    </xf>
    <xf numFmtId="0" fontId="10" fillId="36" borderId="26" xfId="0" applyFont="1" applyFill="1" applyBorder="1" applyAlignment="1">
      <alignment horizontal="center" vertical="center" wrapText="1"/>
    </xf>
    <xf numFmtId="0" fontId="10" fillId="36" borderId="28" xfId="0" applyFont="1" applyFill="1" applyBorder="1" applyAlignment="1">
      <alignment horizontal="center" vertical="center" wrapText="1"/>
    </xf>
    <xf numFmtId="0" fontId="10" fillId="36" borderId="27" xfId="0" applyFont="1" applyFill="1" applyBorder="1" applyAlignment="1">
      <alignment horizontal="center" vertical="center" wrapText="1"/>
    </xf>
    <xf numFmtId="2" fontId="25" fillId="33" borderId="26" xfId="0" applyNumberFormat="1" applyFont="1" applyFill="1" applyBorder="1" applyAlignment="1" applyProtection="1">
      <alignment horizontal="center" vertical="center" wrapText="1"/>
      <protection locked="0"/>
    </xf>
    <xf numFmtId="2" fontId="25" fillId="33" borderId="27" xfId="0" applyNumberFormat="1" applyFont="1" applyFill="1" applyBorder="1" applyAlignment="1" applyProtection="1">
      <alignment horizontal="center" vertical="center" wrapText="1"/>
      <protection locked="0"/>
    </xf>
    <xf numFmtId="2" fontId="25" fillId="33" borderId="92" xfId="0" applyNumberFormat="1" applyFont="1" applyFill="1" applyBorder="1" applyAlignment="1" applyProtection="1">
      <alignment horizontal="center" vertical="center" wrapText="1"/>
      <protection locked="0"/>
    </xf>
    <xf numFmtId="2" fontId="25" fillId="33" borderId="9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56" xfId="0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center"/>
      <protection locked="0"/>
    </xf>
    <xf numFmtId="0" fontId="0" fillId="0" borderId="64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/>
      <protection locked="0"/>
    </xf>
    <xf numFmtId="0" fontId="0" fillId="0" borderId="85" xfId="0" applyBorder="1" applyAlignment="1" applyProtection="1">
      <alignment horizontal="center"/>
      <protection locked="0"/>
    </xf>
    <xf numFmtId="0" fontId="24" fillId="0" borderId="58" xfId="0" applyFont="1" applyBorder="1" applyAlignment="1" applyProtection="1">
      <alignment horizontal="center" vertical="center"/>
      <protection locked="0"/>
    </xf>
    <xf numFmtId="0" fontId="24" fillId="0" borderId="13" xfId="0" applyFont="1" applyBorder="1" applyAlignment="1" applyProtection="1">
      <alignment horizontal="center" vertical="center"/>
      <protection locked="0"/>
    </xf>
    <xf numFmtId="0" fontId="24" fillId="0" borderId="59" xfId="0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 wrapText="1"/>
      <protection locked="0"/>
    </xf>
    <xf numFmtId="0" fontId="24" fillId="0" borderId="14" xfId="0" applyFont="1" applyBorder="1" applyAlignment="1" applyProtection="1">
      <alignment horizontal="center" vertical="center" wrapText="1"/>
      <protection locked="0"/>
    </xf>
    <xf numFmtId="0" fontId="24" fillId="0" borderId="15" xfId="0" applyFont="1" applyBorder="1" applyAlignment="1" applyProtection="1">
      <alignment horizontal="center" vertical="center" wrapText="1"/>
      <protection locked="0"/>
    </xf>
    <xf numFmtId="0" fontId="24" fillId="0" borderId="59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62" xfId="0" applyFont="1" applyBorder="1" applyAlignment="1">
      <alignment horizontal="left" vertical="center"/>
    </xf>
    <xf numFmtId="0" fontId="24" fillId="0" borderId="63" xfId="0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0" fontId="24" fillId="0" borderId="65" xfId="0" applyFont="1" applyBorder="1" applyAlignment="1">
      <alignment horizontal="left" vertical="center"/>
    </xf>
    <xf numFmtId="0" fontId="24" fillId="0" borderId="53" xfId="0" applyFont="1" applyBorder="1" applyAlignment="1" applyProtection="1">
      <alignment horizontal="center" vertical="center"/>
      <protection locked="0"/>
    </xf>
    <xf numFmtId="0" fontId="24" fillId="0" borderId="86" xfId="0" applyFont="1" applyBorder="1" applyAlignment="1" applyProtection="1">
      <alignment horizontal="center" vertical="center"/>
      <protection locked="0"/>
    </xf>
    <xf numFmtId="0" fontId="24" fillId="0" borderId="54" xfId="0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24" fillId="0" borderId="87" xfId="0" applyFont="1" applyBorder="1" applyAlignment="1">
      <alignment horizontal="center" vertical="center"/>
    </xf>
    <xf numFmtId="0" fontId="24" fillId="0" borderId="17" xfId="0" quotePrefix="1" applyFont="1" applyBorder="1" applyAlignment="1">
      <alignment horizontal="center" vertical="center"/>
    </xf>
    <xf numFmtId="0" fontId="24" fillId="0" borderId="18" xfId="0" quotePrefix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24" fillId="0" borderId="90" xfId="0" applyFont="1" applyBorder="1" applyAlignment="1">
      <alignment horizontal="center" vertical="center"/>
    </xf>
    <xf numFmtId="2" fontId="24" fillId="0" borderId="51" xfId="0" applyNumberFormat="1" applyFont="1" applyBorder="1" applyAlignment="1" applyProtection="1">
      <alignment horizontal="center" vertical="center" wrapText="1"/>
      <protection locked="0"/>
    </xf>
    <xf numFmtId="2" fontId="24" fillId="0" borderId="50" xfId="0" applyNumberFormat="1" applyFont="1" applyBorder="1" applyAlignment="1" applyProtection="1">
      <alignment horizontal="center" vertical="center" wrapText="1"/>
      <protection locked="0"/>
    </xf>
    <xf numFmtId="2" fontId="25" fillId="33" borderId="80" xfId="0" applyNumberFormat="1" applyFont="1" applyFill="1" applyBorder="1" applyAlignment="1" applyProtection="1">
      <alignment horizontal="center" vertical="center" wrapText="1"/>
      <protection locked="0"/>
    </xf>
    <xf numFmtId="2" fontId="25" fillId="33" borderId="81" xfId="0" applyNumberFormat="1" applyFont="1" applyFill="1" applyBorder="1" applyAlignment="1" applyProtection="1">
      <alignment horizontal="center" vertical="center" wrapText="1"/>
      <protection locked="0"/>
    </xf>
    <xf numFmtId="1" fontId="25" fillId="33" borderId="20" xfId="57" applyNumberFormat="1" applyFont="1" applyFill="1" applyBorder="1" applyAlignment="1">
      <alignment horizontal="center" vertical="center" wrapText="1"/>
    </xf>
    <xf numFmtId="2" fontId="25" fillId="33" borderId="20" xfId="0" applyNumberFormat="1" applyFont="1" applyFill="1" applyBorder="1" applyAlignment="1" applyProtection="1">
      <alignment horizontal="center" vertical="center" wrapText="1"/>
      <protection locked="0"/>
    </xf>
    <xf numFmtId="0" fontId="25" fillId="33" borderId="20" xfId="85" applyFont="1" applyFill="1" applyBorder="1" applyAlignment="1">
      <alignment horizontal="center" vertical="center" wrapText="1"/>
    </xf>
    <xf numFmtId="0" fontId="25" fillId="33" borderId="20" xfId="0" applyFont="1" applyFill="1" applyBorder="1" applyAlignment="1" applyProtection="1">
      <alignment horizontal="center" vertical="center" wrapText="1"/>
      <protection locked="0"/>
    </xf>
    <xf numFmtId="2" fontId="25" fillId="37" borderId="20" xfId="0" applyNumberFormat="1" applyFont="1" applyFill="1" applyBorder="1" applyAlignment="1" applyProtection="1">
      <alignment horizontal="center" vertical="center" wrapText="1"/>
      <protection locked="0"/>
    </xf>
    <xf numFmtId="0" fontId="25" fillId="33" borderId="25" xfId="0" applyFont="1" applyFill="1" applyBorder="1" applyAlignment="1" applyProtection="1">
      <alignment horizontal="center" vertical="center" wrapText="1"/>
      <protection locked="0"/>
    </xf>
    <xf numFmtId="2" fontId="25" fillId="33" borderId="82" xfId="0" applyNumberFormat="1" applyFont="1" applyFill="1" applyBorder="1" applyAlignment="1" applyProtection="1">
      <alignment horizontal="center" vertical="center" wrapText="1"/>
      <protection locked="0"/>
    </xf>
    <xf numFmtId="2" fontId="25" fillId="0" borderId="20" xfId="0" applyNumberFormat="1" applyFont="1" applyBorder="1" applyAlignment="1" applyProtection="1">
      <alignment horizontal="center" vertical="center" wrapText="1"/>
      <protection locked="0"/>
    </xf>
    <xf numFmtId="0" fontId="0" fillId="0" borderId="61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66" xfId="0" applyBorder="1" applyAlignment="1" applyProtection="1">
      <alignment horizontal="center"/>
      <protection locked="0"/>
    </xf>
    <xf numFmtId="0" fontId="0" fillId="0" borderId="67" xfId="0" applyBorder="1" applyAlignment="1" applyProtection="1">
      <alignment horizontal="center"/>
      <protection locked="0"/>
    </xf>
    <xf numFmtId="0" fontId="0" fillId="0" borderId="53" xfId="0" applyBorder="1" applyAlignment="1" applyProtection="1">
      <alignment horizontal="center"/>
      <protection locked="0"/>
    </xf>
    <xf numFmtId="0" fontId="24" fillId="0" borderId="68" xfId="0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2" fontId="24" fillId="0" borderId="78" xfId="0" applyNumberFormat="1" applyFont="1" applyBorder="1" applyAlignment="1" applyProtection="1">
      <alignment horizontal="center" vertical="center" wrapText="1"/>
      <protection locked="0"/>
    </xf>
    <xf numFmtId="2" fontId="25" fillId="36" borderId="20" xfId="0" applyNumberFormat="1" applyFont="1" applyFill="1" applyBorder="1" applyAlignment="1" applyProtection="1">
      <alignment horizontal="center" vertical="center" wrapText="1"/>
      <protection locked="0"/>
    </xf>
    <xf numFmtId="2" fontId="40" fillId="35" borderId="26" xfId="0" applyNumberFormat="1" applyFont="1" applyFill="1" applyBorder="1" applyAlignment="1" applyProtection="1">
      <alignment horizontal="center" vertical="center" wrapText="1"/>
      <protection locked="0"/>
    </xf>
    <xf numFmtId="2" fontId="40" fillId="35" borderId="27" xfId="0" applyNumberFormat="1" applyFont="1" applyFill="1" applyBorder="1" applyAlignment="1" applyProtection="1">
      <alignment horizontal="center" vertical="center" wrapText="1"/>
      <protection locked="0"/>
    </xf>
    <xf numFmtId="2" fontId="25" fillId="34" borderId="26" xfId="0" applyNumberFormat="1" applyFont="1" applyFill="1" applyBorder="1" applyAlignment="1" applyProtection="1">
      <alignment horizontal="center" vertical="center" wrapText="1"/>
      <protection locked="0"/>
    </xf>
    <xf numFmtId="2" fontId="25" fillId="34" borderId="27" xfId="0" applyNumberFormat="1" applyFont="1" applyFill="1" applyBorder="1" applyAlignment="1" applyProtection="1">
      <alignment horizontal="center" vertical="center" wrapText="1"/>
      <protection locked="0"/>
    </xf>
    <xf numFmtId="2" fontId="25" fillId="36" borderId="74" xfId="0" applyNumberFormat="1" applyFont="1" applyFill="1" applyBorder="1" applyAlignment="1" applyProtection="1">
      <alignment horizontal="center" vertical="center" wrapText="1"/>
      <protection locked="0"/>
    </xf>
    <xf numFmtId="1" fontId="25" fillId="33" borderId="71" xfId="57" applyNumberFormat="1" applyFont="1" applyFill="1" applyBorder="1" applyAlignment="1">
      <alignment horizontal="center" vertical="center" wrapText="1"/>
    </xf>
    <xf numFmtId="1" fontId="25" fillId="33" borderId="82" xfId="57" applyNumberFormat="1" applyFont="1" applyFill="1" applyBorder="1" applyAlignment="1">
      <alignment horizontal="center" vertical="center" wrapText="1"/>
    </xf>
    <xf numFmtId="0" fontId="25" fillId="33" borderId="71" xfId="85" applyFont="1" applyFill="1" applyBorder="1" applyAlignment="1">
      <alignment horizontal="center" vertical="center" wrapText="1"/>
    </xf>
    <xf numFmtId="0" fontId="25" fillId="33" borderId="82" xfId="85" applyFont="1" applyFill="1" applyBorder="1" applyAlignment="1">
      <alignment horizontal="center" vertical="center" wrapText="1"/>
    </xf>
    <xf numFmtId="0" fontId="25" fillId="33" borderId="71" xfId="0" applyFont="1" applyFill="1" applyBorder="1" applyAlignment="1" applyProtection="1">
      <alignment horizontal="center" vertical="center" wrapText="1"/>
      <protection locked="0"/>
    </xf>
    <xf numFmtId="0" fontId="25" fillId="33" borderId="82" xfId="0" applyFont="1" applyFill="1" applyBorder="1" applyAlignment="1" applyProtection="1">
      <alignment horizontal="center" vertical="center" wrapText="1"/>
      <protection locked="0"/>
    </xf>
    <xf numFmtId="2" fontId="25" fillId="37" borderId="26" xfId="0" applyNumberFormat="1" applyFont="1" applyFill="1" applyBorder="1" applyAlignment="1" applyProtection="1">
      <alignment horizontal="center" vertical="center" wrapText="1"/>
      <protection locked="0"/>
    </xf>
    <xf numFmtId="2" fontId="25" fillId="37" borderId="27" xfId="0" applyNumberFormat="1" applyFont="1" applyFill="1" applyBorder="1" applyAlignment="1" applyProtection="1">
      <alignment horizontal="center" vertical="center" wrapText="1"/>
      <protection locked="0"/>
    </xf>
    <xf numFmtId="2" fontId="24" fillId="0" borderId="76" xfId="0" applyNumberFormat="1" applyFont="1" applyBorder="1" applyAlignment="1" applyProtection="1">
      <alignment horizontal="center" vertical="center" wrapText="1"/>
      <protection locked="0"/>
    </xf>
  </cellXfs>
  <cellStyles count="89">
    <cellStyle name="20% - Ênfase1" xfId="1" builtinId="30" customBuiltin="1"/>
    <cellStyle name="20% - Ênfase1 2" xfId="2" xr:uid="{00000000-0005-0000-0000-000001000000}"/>
    <cellStyle name="20% - Ênfase2" xfId="3" builtinId="34" customBuiltin="1"/>
    <cellStyle name="20% - Ênfase2 2" xfId="4" xr:uid="{00000000-0005-0000-0000-000003000000}"/>
    <cellStyle name="20% - Ênfase3" xfId="5" builtinId="38" customBuiltin="1"/>
    <cellStyle name="20% - Ênfase3 2" xfId="6" xr:uid="{00000000-0005-0000-0000-000005000000}"/>
    <cellStyle name="20% - Ênfase4" xfId="7" builtinId="42" customBuiltin="1"/>
    <cellStyle name="20% - Ênfase4 2" xfId="8" xr:uid="{00000000-0005-0000-0000-000007000000}"/>
    <cellStyle name="20% - Ênfase5" xfId="9" builtinId="46" customBuiltin="1"/>
    <cellStyle name="20% - Ênfase5 2" xfId="10" xr:uid="{00000000-0005-0000-0000-000009000000}"/>
    <cellStyle name="20% - Ênfase6" xfId="11" builtinId="50" customBuiltin="1"/>
    <cellStyle name="20% - Ênfase6 2" xfId="12" xr:uid="{00000000-0005-0000-0000-00000B000000}"/>
    <cellStyle name="40% - Ênfase1" xfId="13" builtinId="31" customBuiltin="1"/>
    <cellStyle name="40% - Ênfase1 2" xfId="14" xr:uid="{00000000-0005-0000-0000-00000D000000}"/>
    <cellStyle name="40% - Ênfase2" xfId="15" builtinId="35" customBuiltin="1"/>
    <cellStyle name="40% - Ênfase3" xfId="16" builtinId="39" customBuiltin="1"/>
    <cellStyle name="40% - Ênfase3 2" xfId="17" xr:uid="{00000000-0005-0000-0000-000010000000}"/>
    <cellStyle name="40% - Ênfase4" xfId="18" builtinId="43" customBuiltin="1"/>
    <cellStyle name="40% - Ênfase4 2" xfId="19" xr:uid="{00000000-0005-0000-0000-000012000000}"/>
    <cellStyle name="40% - Ênfase5" xfId="20" builtinId="47" customBuiltin="1"/>
    <cellStyle name="40% - Ênfase5 2" xfId="21" xr:uid="{00000000-0005-0000-0000-000014000000}"/>
    <cellStyle name="40% - Ênfase6" xfId="22" builtinId="51" customBuiltin="1"/>
    <cellStyle name="40% - Ênfase6 2" xfId="23" xr:uid="{00000000-0005-0000-0000-000016000000}"/>
    <cellStyle name="60% - Ênfase1" xfId="24" builtinId="32" customBuiltin="1"/>
    <cellStyle name="60% - Ênfase1 2" xfId="25" xr:uid="{00000000-0005-0000-0000-000018000000}"/>
    <cellStyle name="60% - Ênfase2" xfId="26" builtinId="36" customBuiltin="1"/>
    <cellStyle name="60% - Ênfase3" xfId="27" builtinId="40" customBuiltin="1"/>
    <cellStyle name="60% - Ênfase3 2" xfId="28" xr:uid="{00000000-0005-0000-0000-00001B000000}"/>
    <cellStyle name="60% - Ênfase4" xfId="29" builtinId="44" customBuiltin="1"/>
    <cellStyle name="60% - Ênfase4 2" xfId="30" xr:uid="{00000000-0005-0000-0000-00001D000000}"/>
    <cellStyle name="60% - Ênfase5" xfId="31" builtinId="48" customBuiltin="1"/>
    <cellStyle name="60% - Ênfase6" xfId="32" builtinId="52" customBuiltin="1"/>
    <cellStyle name="60% - Ênfase6 2" xfId="33" xr:uid="{00000000-0005-0000-0000-000020000000}"/>
    <cellStyle name="Bom" xfId="34" builtinId="26" customBuiltin="1"/>
    <cellStyle name="Cálculo" xfId="35" builtinId="22" customBuiltin="1"/>
    <cellStyle name="Cálculo 2" xfId="36" xr:uid="{00000000-0005-0000-0000-000023000000}"/>
    <cellStyle name="Célula de Verificação" xfId="37" builtinId="23" customBuiltin="1"/>
    <cellStyle name="Célula Vinculada" xfId="38" builtinId="24" customBuiltin="1"/>
    <cellStyle name="Ênfase1" xfId="39" builtinId="29" customBuiltin="1"/>
    <cellStyle name="Ênfase1 2" xfId="40" xr:uid="{00000000-0005-0000-0000-000027000000}"/>
    <cellStyle name="Ênfase2" xfId="41" builtinId="33" customBuiltin="1"/>
    <cellStyle name="Ênfase2 2" xfId="42" xr:uid="{00000000-0005-0000-0000-000029000000}"/>
    <cellStyle name="Ênfase3" xfId="43" builtinId="37" customBuiltin="1"/>
    <cellStyle name="Ênfase3 2" xfId="44" xr:uid="{00000000-0005-0000-0000-00002B000000}"/>
    <cellStyle name="Ênfase4" xfId="45" builtinId="41" customBuiltin="1"/>
    <cellStyle name="Ênfase4 2" xfId="46" xr:uid="{00000000-0005-0000-0000-00002D000000}"/>
    <cellStyle name="Ênfase5" xfId="47" builtinId="45" customBuiltin="1"/>
    <cellStyle name="Ênfase6" xfId="48" builtinId="49" customBuiltin="1"/>
    <cellStyle name="Ênfase6 2" xfId="49" xr:uid="{00000000-0005-0000-0000-000030000000}"/>
    <cellStyle name="Entrada" xfId="50" builtinId="20" customBuiltin="1"/>
    <cellStyle name="Entrada 2" xfId="51" xr:uid="{00000000-0005-0000-0000-000032000000}"/>
    <cellStyle name="Grey" xfId="52" xr:uid="{00000000-0005-0000-0000-000033000000}"/>
    <cellStyle name="Input [yellow]" xfId="54" xr:uid="{00000000-0005-0000-0000-000035000000}"/>
    <cellStyle name="Neutro" xfId="55" builtinId="28" customBuiltin="1"/>
    <cellStyle name="Normal" xfId="0" builtinId="0"/>
    <cellStyle name="Normal - Style1" xfId="56" xr:uid="{00000000-0005-0000-0000-000038000000}"/>
    <cellStyle name="Normal 10" xfId="81" xr:uid="{C3764421-95C8-4883-95A8-5C5D4D3242DF}"/>
    <cellStyle name="Normal 104" xfId="84" xr:uid="{9C5D6F69-FC26-45C2-A07E-370C7865915A}"/>
    <cellStyle name="Normal 2" xfId="57" xr:uid="{00000000-0005-0000-0000-000039000000}"/>
    <cellStyle name="Normal 21" xfId="86" xr:uid="{62D91538-093C-44B7-BF8E-93BC76B09479}"/>
    <cellStyle name="Normal 3" xfId="58" xr:uid="{00000000-0005-0000-0000-00003A000000}"/>
    <cellStyle name="Normal 3 2" xfId="82" xr:uid="{CDD9EAFC-77E6-43E3-88D8-CABDA21B6E67}"/>
    <cellStyle name="Normal 3 2 2" xfId="88" xr:uid="{CF9366F3-C253-4910-A92E-055487BF99EE}"/>
    <cellStyle name="Normal 4" xfId="80" xr:uid="{B35D7AA0-6C8E-4D07-B972-6F32677F5145}"/>
    <cellStyle name="Normal 4 2" xfId="87" xr:uid="{E1D1E77A-AA6F-4139-A115-938393BB64F5}"/>
    <cellStyle name="Normal 42" xfId="85" xr:uid="{44A9D253-C366-45E4-936B-062037B3759F}"/>
    <cellStyle name="Normal 55" xfId="83" xr:uid="{FD55995F-05F5-41C3-A590-8EE15C958DFB}"/>
    <cellStyle name="Nota" xfId="59" builtinId="10" customBuiltin="1"/>
    <cellStyle name="Percent [2]" xfId="60" xr:uid="{00000000-0005-0000-0000-00003C000000}"/>
    <cellStyle name="Ruim" xfId="53" builtinId="27" customBuiltin="1"/>
    <cellStyle name="Saída" xfId="61" builtinId="21" customBuiltin="1"/>
    <cellStyle name="Saída 2" xfId="62" xr:uid="{00000000-0005-0000-0000-00003E000000}"/>
    <cellStyle name="Texto de Aviso" xfId="63" builtinId="11" customBuiltin="1"/>
    <cellStyle name="Texto Explicativo" xfId="64" builtinId="53" customBuiltin="1"/>
    <cellStyle name="Título 1" xfId="65" builtinId="16" customBuiltin="1"/>
    <cellStyle name="Título 1 1" xfId="66" xr:uid="{00000000-0005-0000-0000-000042000000}"/>
    <cellStyle name="Título 1 2" xfId="67" xr:uid="{00000000-0005-0000-0000-000043000000}"/>
    <cellStyle name="Título 2" xfId="68" builtinId="17" customBuiltin="1"/>
    <cellStyle name="Título 2 2" xfId="69" xr:uid="{00000000-0005-0000-0000-000045000000}"/>
    <cellStyle name="Título 3" xfId="70" builtinId="18" customBuiltin="1"/>
    <cellStyle name="Título 3 2" xfId="71" xr:uid="{00000000-0005-0000-0000-000047000000}"/>
    <cellStyle name="Título 4" xfId="72" builtinId="19" customBuiltin="1"/>
    <cellStyle name="Título 4 2" xfId="73" xr:uid="{00000000-0005-0000-0000-000049000000}"/>
    <cellStyle name="Título 5" xfId="74" xr:uid="{00000000-0005-0000-0000-00004A000000}"/>
    <cellStyle name="Título 5 2" xfId="75" xr:uid="{00000000-0005-0000-0000-00004B000000}"/>
    <cellStyle name="Título 6" xfId="76" xr:uid="{00000000-0005-0000-0000-00004C000000}"/>
    <cellStyle name="Total" xfId="77" builtinId="25" customBuiltin="1"/>
    <cellStyle name="Total 2" xfId="78" xr:uid="{00000000-0005-0000-0000-00004E000000}"/>
    <cellStyle name="常规_Consumer_list" xfId="79" xr:uid="{00000000-0005-0000-0000-00004F000000}"/>
  </cellStyles>
  <dxfs count="19"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66"/>
      <rgbColor rgb="000000FF"/>
      <rgbColor rgb="00CCFF00"/>
      <rgbColor rgb="00FF33FF"/>
      <rgbColor rgb="0000FFFF"/>
      <rgbColor rgb="00800000"/>
      <rgbColor rgb="00008000"/>
      <rgbColor rgb="00000080"/>
      <rgbColor rgb="00669966"/>
      <rgbColor rgb="00800080"/>
      <rgbColor rgb="00008080"/>
      <rgbColor rgb="00C0C0C0"/>
      <rgbColor rgb="00808080"/>
      <rgbColor rgb="009966CC"/>
      <rgbColor rgb="00993366"/>
      <rgbColor rgb="00FFFFCC"/>
      <rgbColor rgb="00CCFFFF"/>
      <rgbColor rgb="00660066"/>
      <rgbColor rgb="00FF8080"/>
      <rgbColor rgb="000066CC"/>
      <rgbColor rgb="00CCCCCC"/>
      <rgbColor rgb="00000080"/>
      <rgbColor rgb="00FF00FF"/>
      <rgbColor rgb="00FFD32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66FFFF"/>
      <rgbColor rgb="00FF99CC"/>
      <rgbColor rgb="00CC99FF"/>
      <rgbColor rgb="00FFCC99"/>
      <rgbColor rgb="003366FF"/>
      <rgbColor rgb="0033CCCC"/>
      <rgbColor rgb="0066FF00"/>
      <rgbColor rgb="00FFCC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33"/>
      <color rgb="FF00FF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16</xdr:row>
      <xdr:rowOff>104775</xdr:rowOff>
    </xdr:from>
    <xdr:to>
      <xdr:col>9</xdr:col>
      <xdr:colOff>10533</xdr:colOff>
      <xdr:row>23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326545-06FF-4CA1-8402-00F7D2B63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4295775"/>
          <a:ext cx="3449058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26</xdr:row>
      <xdr:rowOff>316972</xdr:rowOff>
    </xdr:from>
    <xdr:to>
      <xdr:col>7</xdr:col>
      <xdr:colOff>53437</xdr:colOff>
      <xdr:row>26</xdr:row>
      <xdr:rowOff>1140460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DB7C96-1D32-4F49-87CA-4CC7BAB6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03472"/>
          <a:ext cx="3377662" cy="8107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127907</xdr:rowOff>
    </xdr:from>
    <xdr:to>
      <xdr:col>3</xdr:col>
      <xdr:colOff>2135176</xdr:colOff>
      <xdr:row>3</xdr:row>
      <xdr:rowOff>302328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EB7277-DCFC-48E2-AAEA-E36BE301F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27907"/>
          <a:ext cx="5599264" cy="1345996"/>
        </a:xfrm>
        <a:prstGeom prst="rect">
          <a:avLst/>
        </a:prstGeom>
      </xdr:spPr>
    </xdr:pic>
    <xdr:clientData/>
  </xdr:twoCellAnchor>
  <xdr:twoCellAnchor>
    <xdr:from>
      <xdr:col>4</xdr:col>
      <xdr:colOff>1423147</xdr:colOff>
      <xdr:row>0</xdr:row>
      <xdr:rowOff>56029</xdr:rowOff>
    </xdr:from>
    <xdr:to>
      <xdr:col>5</xdr:col>
      <xdr:colOff>1714500</xdr:colOff>
      <xdr:row>3</xdr:row>
      <xdr:rowOff>135591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6E55655-843B-4C23-853E-1A1CCE8F6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2722" y="56029"/>
          <a:ext cx="3177428" cy="1251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127907</xdr:rowOff>
    </xdr:from>
    <xdr:to>
      <xdr:col>3</xdr:col>
      <xdr:colOff>2132965</xdr:colOff>
      <xdr:row>3</xdr:row>
      <xdr:rowOff>302328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64C095C-2AF6-4574-B7B1-EF534441B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27907"/>
          <a:ext cx="5718719" cy="1340281"/>
        </a:xfrm>
        <a:prstGeom prst="rect">
          <a:avLst/>
        </a:prstGeom>
      </xdr:spPr>
    </xdr:pic>
    <xdr:clientData/>
  </xdr:twoCellAnchor>
  <xdr:twoCellAnchor>
    <xdr:from>
      <xdr:col>4</xdr:col>
      <xdr:colOff>1423147</xdr:colOff>
      <xdr:row>0</xdr:row>
      <xdr:rowOff>56029</xdr:rowOff>
    </xdr:from>
    <xdr:to>
      <xdr:col>5</xdr:col>
      <xdr:colOff>1714500</xdr:colOff>
      <xdr:row>3</xdr:row>
      <xdr:rowOff>135591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FB1DD57-0175-478F-9FBD-A411A425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227" y="56029"/>
          <a:ext cx="3263153" cy="1245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127907</xdr:rowOff>
    </xdr:from>
    <xdr:to>
      <xdr:col>3</xdr:col>
      <xdr:colOff>2131604</xdr:colOff>
      <xdr:row>3</xdr:row>
      <xdr:rowOff>302328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54B9E4D-7A24-4865-B1D7-BEC0EFD3C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27907"/>
          <a:ext cx="5718719" cy="1340281"/>
        </a:xfrm>
        <a:prstGeom prst="rect">
          <a:avLst/>
        </a:prstGeom>
      </xdr:spPr>
    </xdr:pic>
    <xdr:clientData/>
  </xdr:twoCellAnchor>
  <xdr:twoCellAnchor>
    <xdr:from>
      <xdr:col>4</xdr:col>
      <xdr:colOff>1423147</xdr:colOff>
      <xdr:row>0</xdr:row>
      <xdr:rowOff>56029</xdr:rowOff>
    </xdr:from>
    <xdr:to>
      <xdr:col>5</xdr:col>
      <xdr:colOff>1714500</xdr:colOff>
      <xdr:row>3</xdr:row>
      <xdr:rowOff>135591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8F67764-20D0-4745-A874-B7A040573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227" y="56029"/>
          <a:ext cx="3263153" cy="1245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mserver\21%20-%20Transferencia\Users\joao.anjos\Desktop\LI\ED-I-A1000-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Lista de Instrumento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1"/>
  <dimension ref="A1:Q49"/>
  <sheetViews>
    <sheetView showGridLines="0" tabSelected="1" view="pageBreakPreview" zoomScaleNormal="65" zoomScaleSheetLayoutView="100" workbookViewId="0">
      <selection sqref="A1:Q1"/>
    </sheetView>
  </sheetViews>
  <sheetFormatPr defaultRowHeight="11.25"/>
  <cols>
    <col min="1" max="1" width="6" style="6" customWidth="1"/>
    <col min="2" max="2" width="1.42578125" style="1" customWidth="1"/>
    <col min="3" max="3" width="3.85546875" style="1" customWidth="1"/>
    <col min="4" max="4" width="9.85546875" style="1" customWidth="1"/>
    <col min="5" max="5" width="7.28515625" style="1" customWidth="1"/>
    <col min="6" max="6" width="17.28515625" style="1" customWidth="1"/>
    <col min="7" max="7" width="2.7109375" style="1" customWidth="1"/>
    <col min="8" max="8" width="2.85546875" style="1" customWidth="1"/>
    <col min="9" max="10" width="2.28515625" style="1" customWidth="1"/>
    <col min="11" max="11" width="4.140625" style="1" customWidth="1"/>
    <col min="12" max="12" width="4" style="1" customWidth="1"/>
    <col min="13" max="13" width="12.7109375" style="1" customWidth="1"/>
    <col min="14" max="14" width="6.28515625" style="1" customWidth="1"/>
    <col min="15" max="15" width="5.42578125" style="1" customWidth="1"/>
    <col min="16" max="16" width="2.28515625" style="1" customWidth="1"/>
    <col min="17" max="17" width="7.7109375" style="1" customWidth="1"/>
    <col min="18" max="236" width="9.140625" style="1"/>
    <col min="237" max="237" width="6" style="1" customWidth="1"/>
    <col min="238" max="238" width="1.42578125" style="1" customWidth="1"/>
    <col min="239" max="239" width="3.85546875" style="1" customWidth="1"/>
    <col min="240" max="240" width="9.85546875" style="1" customWidth="1"/>
    <col min="241" max="241" width="7.28515625" style="1" customWidth="1"/>
    <col min="242" max="242" width="17.28515625" style="1" customWidth="1"/>
    <col min="243" max="243" width="2.7109375" style="1" customWidth="1"/>
    <col min="244" max="244" width="2.85546875" style="1" customWidth="1"/>
    <col min="245" max="246" width="2.28515625" style="1" customWidth="1"/>
    <col min="247" max="247" width="4.140625" style="1" customWidth="1"/>
    <col min="248" max="248" width="4" style="1" customWidth="1"/>
    <col min="249" max="249" width="12.7109375" style="1" customWidth="1"/>
    <col min="250" max="250" width="6.28515625" style="1" customWidth="1"/>
    <col min="251" max="251" width="5.42578125" style="1" customWidth="1"/>
    <col min="252" max="252" width="2.28515625" style="1" customWidth="1"/>
    <col min="253" max="253" width="7.7109375" style="1" customWidth="1"/>
    <col min="254" max="254" width="5.28515625" style="1" customWidth="1"/>
    <col min="255" max="267" width="3.28515625" style="1" customWidth="1"/>
    <col min="268" max="492" width="9.140625" style="1"/>
    <col min="493" max="493" width="6" style="1" customWidth="1"/>
    <col min="494" max="494" width="1.42578125" style="1" customWidth="1"/>
    <col min="495" max="495" width="3.85546875" style="1" customWidth="1"/>
    <col min="496" max="496" width="9.85546875" style="1" customWidth="1"/>
    <col min="497" max="497" width="7.28515625" style="1" customWidth="1"/>
    <col min="498" max="498" width="17.28515625" style="1" customWidth="1"/>
    <col min="499" max="499" width="2.7109375" style="1" customWidth="1"/>
    <col min="500" max="500" width="2.85546875" style="1" customWidth="1"/>
    <col min="501" max="502" width="2.28515625" style="1" customWidth="1"/>
    <col min="503" max="503" width="4.140625" style="1" customWidth="1"/>
    <col min="504" max="504" width="4" style="1" customWidth="1"/>
    <col min="505" max="505" width="12.7109375" style="1" customWidth="1"/>
    <col min="506" max="506" width="6.28515625" style="1" customWidth="1"/>
    <col min="507" max="507" width="5.42578125" style="1" customWidth="1"/>
    <col min="508" max="508" width="2.28515625" style="1" customWidth="1"/>
    <col min="509" max="509" width="7.7109375" style="1" customWidth="1"/>
    <col min="510" max="510" width="5.28515625" style="1" customWidth="1"/>
    <col min="511" max="523" width="3.28515625" style="1" customWidth="1"/>
    <col min="524" max="748" width="9.140625" style="1"/>
    <col min="749" max="749" width="6" style="1" customWidth="1"/>
    <col min="750" max="750" width="1.42578125" style="1" customWidth="1"/>
    <col min="751" max="751" width="3.85546875" style="1" customWidth="1"/>
    <col min="752" max="752" width="9.85546875" style="1" customWidth="1"/>
    <col min="753" max="753" width="7.28515625" style="1" customWidth="1"/>
    <col min="754" max="754" width="17.28515625" style="1" customWidth="1"/>
    <col min="755" max="755" width="2.7109375" style="1" customWidth="1"/>
    <col min="756" max="756" width="2.85546875" style="1" customWidth="1"/>
    <col min="757" max="758" width="2.28515625" style="1" customWidth="1"/>
    <col min="759" max="759" width="4.140625" style="1" customWidth="1"/>
    <col min="760" max="760" width="4" style="1" customWidth="1"/>
    <col min="761" max="761" width="12.7109375" style="1" customWidth="1"/>
    <col min="762" max="762" width="6.28515625" style="1" customWidth="1"/>
    <col min="763" max="763" width="5.42578125" style="1" customWidth="1"/>
    <col min="764" max="764" width="2.28515625" style="1" customWidth="1"/>
    <col min="765" max="765" width="7.7109375" style="1" customWidth="1"/>
    <col min="766" max="766" width="5.28515625" style="1" customWidth="1"/>
    <col min="767" max="779" width="3.28515625" style="1" customWidth="1"/>
    <col min="780" max="1004" width="9.140625" style="1"/>
    <col min="1005" max="1005" width="6" style="1" customWidth="1"/>
    <col min="1006" max="1006" width="1.42578125" style="1" customWidth="1"/>
    <col min="1007" max="1007" width="3.85546875" style="1" customWidth="1"/>
    <col min="1008" max="1008" width="9.85546875" style="1" customWidth="1"/>
    <col min="1009" max="1009" width="7.28515625" style="1" customWidth="1"/>
    <col min="1010" max="1010" width="17.28515625" style="1" customWidth="1"/>
    <col min="1011" max="1011" width="2.7109375" style="1" customWidth="1"/>
    <col min="1012" max="1012" width="2.85546875" style="1" customWidth="1"/>
    <col min="1013" max="1014" width="2.28515625" style="1" customWidth="1"/>
    <col min="1015" max="1015" width="4.140625" style="1" customWidth="1"/>
    <col min="1016" max="1016" width="4" style="1" customWidth="1"/>
    <col min="1017" max="1017" width="12.7109375" style="1" customWidth="1"/>
    <col min="1018" max="1018" width="6.28515625" style="1" customWidth="1"/>
    <col min="1019" max="1019" width="5.42578125" style="1" customWidth="1"/>
    <col min="1020" max="1020" width="2.28515625" style="1" customWidth="1"/>
    <col min="1021" max="1021" width="7.7109375" style="1" customWidth="1"/>
    <col min="1022" max="1022" width="5.28515625" style="1" customWidth="1"/>
    <col min="1023" max="1035" width="3.28515625" style="1" customWidth="1"/>
    <col min="1036" max="1260" width="9.140625" style="1"/>
    <col min="1261" max="1261" width="6" style="1" customWidth="1"/>
    <col min="1262" max="1262" width="1.42578125" style="1" customWidth="1"/>
    <col min="1263" max="1263" width="3.85546875" style="1" customWidth="1"/>
    <col min="1264" max="1264" width="9.85546875" style="1" customWidth="1"/>
    <col min="1265" max="1265" width="7.28515625" style="1" customWidth="1"/>
    <col min="1266" max="1266" width="17.28515625" style="1" customWidth="1"/>
    <col min="1267" max="1267" width="2.7109375" style="1" customWidth="1"/>
    <col min="1268" max="1268" width="2.85546875" style="1" customWidth="1"/>
    <col min="1269" max="1270" width="2.28515625" style="1" customWidth="1"/>
    <col min="1271" max="1271" width="4.140625" style="1" customWidth="1"/>
    <col min="1272" max="1272" width="4" style="1" customWidth="1"/>
    <col min="1273" max="1273" width="12.7109375" style="1" customWidth="1"/>
    <col min="1274" max="1274" width="6.28515625" style="1" customWidth="1"/>
    <col min="1275" max="1275" width="5.42578125" style="1" customWidth="1"/>
    <col min="1276" max="1276" width="2.28515625" style="1" customWidth="1"/>
    <col min="1277" max="1277" width="7.7109375" style="1" customWidth="1"/>
    <col min="1278" max="1278" width="5.28515625" style="1" customWidth="1"/>
    <col min="1279" max="1291" width="3.28515625" style="1" customWidth="1"/>
    <col min="1292" max="1516" width="9.140625" style="1"/>
    <col min="1517" max="1517" width="6" style="1" customWidth="1"/>
    <col min="1518" max="1518" width="1.42578125" style="1" customWidth="1"/>
    <col min="1519" max="1519" width="3.85546875" style="1" customWidth="1"/>
    <col min="1520" max="1520" width="9.85546875" style="1" customWidth="1"/>
    <col min="1521" max="1521" width="7.28515625" style="1" customWidth="1"/>
    <col min="1522" max="1522" width="17.28515625" style="1" customWidth="1"/>
    <col min="1523" max="1523" width="2.7109375" style="1" customWidth="1"/>
    <col min="1524" max="1524" width="2.85546875" style="1" customWidth="1"/>
    <col min="1525" max="1526" width="2.28515625" style="1" customWidth="1"/>
    <col min="1527" max="1527" width="4.140625" style="1" customWidth="1"/>
    <col min="1528" max="1528" width="4" style="1" customWidth="1"/>
    <col min="1529" max="1529" width="12.7109375" style="1" customWidth="1"/>
    <col min="1530" max="1530" width="6.28515625" style="1" customWidth="1"/>
    <col min="1531" max="1531" width="5.42578125" style="1" customWidth="1"/>
    <col min="1532" max="1532" width="2.28515625" style="1" customWidth="1"/>
    <col min="1533" max="1533" width="7.7109375" style="1" customWidth="1"/>
    <col min="1534" max="1534" width="5.28515625" style="1" customWidth="1"/>
    <col min="1535" max="1547" width="3.28515625" style="1" customWidth="1"/>
    <col min="1548" max="1772" width="9.140625" style="1"/>
    <col min="1773" max="1773" width="6" style="1" customWidth="1"/>
    <col min="1774" max="1774" width="1.42578125" style="1" customWidth="1"/>
    <col min="1775" max="1775" width="3.85546875" style="1" customWidth="1"/>
    <col min="1776" max="1776" width="9.85546875" style="1" customWidth="1"/>
    <col min="1777" max="1777" width="7.28515625" style="1" customWidth="1"/>
    <col min="1778" max="1778" width="17.28515625" style="1" customWidth="1"/>
    <col min="1779" max="1779" width="2.7109375" style="1" customWidth="1"/>
    <col min="1780" max="1780" width="2.85546875" style="1" customWidth="1"/>
    <col min="1781" max="1782" width="2.28515625" style="1" customWidth="1"/>
    <col min="1783" max="1783" width="4.140625" style="1" customWidth="1"/>
    <col min="1784" max="1784" width="4" style="1" customWidth="1"/>
    <col min="1785" max="1785" width="12.7109375" style="1" customWidth="1"/>
    <col min="1786" max="1786" width="6.28515625" style="1" customWidth="1"/>
    <col min="1787" max="1787" width="5.42578125" style="1" customWidth="1"/>
    <col min="1788" max="1788" width="2.28515625" style="1" customWidth="1"/>
    <col min="1789" max="1789" width="7.7109375" style="1" customWidth="1"/>
    <col min="1790" max="1790" width="5.28515625" style="1" customWidth="1"/>
    <col min="1791" max="1803" width="3.28515625" style="1" customWidth="1"/>
    <col min="1804" max="2028" width="9.140625" style="1"/>
    <col min="2029" max="2029" width="6" style="1" customWidth="1"/>
    <col min="2030" max="2030" width="1.42578125" style="1" customWidth="1"/>
    <col min="2031" max="2031" width="3.85546875" style="1" customWidth="1"/>
    <col min="2032" max="2032" width="9.85546875" style="1" customWidth="1"/>
    <col min="2033" max="2033" width="7.28515625" style="1" customWidth="1"/>
    <col min="2034" max="2034" width="17.28515625" style="1" customWidth="1"/>
    <col min="2035" max="2035" width="2.7109375" style="1" customWidth="1"/>
    <col min="2036" max="2036" width="2.85546875" style="1" customWidth="1"/>
    <col min="2037" max="2038" width="2.28515625" style="1" customWidth="1"/>
    <col min="2039" max="2039" width="4.140625" style="1" customWidth="1"/>
    <col min="2040" max="2040" width="4" style="1" customWidth="1"/>
    <col min="2041" max="2041" width="12.7109375" style="1" customWidth="1"/>
    <col min="2042" max="2042" width="6.28515625" style="1" customWidth="1"/>
    <col min="2043" max="2043" width="5.42578125" style="1" customWidth="1"/>
    <col min="2044" max="2044" width="2.28515625" style="1" customWidth="1"/>
    <col min="2045" max="2045" width="7.7109375" style="1" customWidth="1"/>
    <col min="2046" max="2046" width="5.28515625" style="1" customWidth="1"/>
    <col min="2047" max="2059" width="3.28515625" style="1" customWidth="1"/>
    <col min="2060" max="2284" width="9.140625" style="1"/>
    <col min="2285" max="2285" width="6" style="1" customWidth="1"/>
    <col min="2286" max="2286" width="1.42578125" style="1" customWidth="1"/>
    <col min="2287" max="2287" width="3.85546875" style="1" customWidth="1"/>
    <col min="2288" max="2288" width="9.85546875" style="1" customWidth="1"/>
    <col min="2289" max="2289" width="7.28515625" style="1" customWidth="1"/>
    <col min="2290" max="2290" width="17.28515625" style="1" customWidth="1"/>
    <col min="2291" max="2291" width="2.7109375" style="1" customWidth="1"/>
    <col min="2292" max="2292" width="2.85546875" style="1" customWidth="1"/>
    <col min="2293" max="2294" width="2.28515625" style="1" customWidth="1"/>
    <col min="2295" max="2295" width="4.140625" style="1" customWidth="1"/>
    <col min="2296" max="2296" width="4" style="1" customWidth="1"/>
    <col min="2297" max="2297" width="12.7109375" style="1" customWidth="1"/>
    <col min="2298" max="2298" width="6.28515625" style="1" customWidth="1"/>
    <col min="2299" max="2299" width="5.42578125" style="1" customWidth="1"/>
    <col min="2300" max="2300" width="2.28515625" style="1" customWidth="1"/>
    <col min="2301" max="2301" width="7.7109375" style="1" customWidth="1"/>
    <col min="2302" max="2302" width="5.28515625" style="1" customWidth="1"/>
    <col min="2303" max="2315" width="3.28515625" style="1" customWidth="1"/>
    <col min="2316" max="2540" width="9.140625" style="1"/>
    <col min="2541" max="2541" width="6" style="1" customWidth="1"/>
    <col min="2542" max="2542" width="1.42578125" style="1" customWidth="1"/>
    <col min="2543" max="2543" width="3.85546875" style="1" customWidth="1"/>
    <col min="2544" max="2544" width="9.85546875" style="1" customWidth="1"/>
    <col min="2545" max="2545" width="7.28515625" style="1" customWidth="1"/>
    <col min="2546" max="2546" width="17.28515625" style="1" customWidth="1"/>
    <col min="2547" max="2547" width="2.7109375" style="1" customWidth="1"/>
    <col min="2548" max="2548" width="2.85546875" style="1" customWidth="1"/>
    <col min="2549" max="2550" width="2.28515625" style="1" customWidth="1"/>
    <col min="2551" max="2551" width="4.140625" style="1" customWidth="1"/>
    <col min="2552" max="2552" width="4" style="1" customWidth="1"/>
    <col min="2553" max="2553" width="12.7109375" style="1" customWidth="1"/>
    <col min="2554" max="2554" width="6.28515625" style="1" customWidth="1"/>
    <col min="2555" max="2555" width="5.42578125" style="1" customWidth="1"/>
    <col min="2556" max="2556" width="2.28515625" style="1" customWidth="1"/>
    <col min="2557" max="2557" width="7.7109375" style="1" customWidth="1"/>
    <col min="2558" max="2558" width="5.28515625" style="1" customWidth="1"/>
    <col min="2559" max="2571" width="3.28515625" style="1" customWidth="1"/>
    <col min="2572" max="2796" width="9.140625" style="1"/>
    <col min="2797" max="2797" width="6" style="1" customWidth="1"/>
    <col min="2798" max="2798" width="1.42578125" style="1" customWidth="1"/>
    <col min="2799" max="2799" width="3.85546875" style="1" customWidth="1"/>
    <col min="2800" max="2800" width="9.85546875" style="1" customWidth="1"/>
    <col min="2801" max="2801" width="7.28515625" style="1" customWidth="1"/>
    <col min="2802" max="2802" width="17.28515625" style="1" customWidth="1"/>
    <col min="2803" max="2803" width="2.7109375" style="1" customWidth="1"/>
    <col min="2804" max="2804" width="2.85546875" style="1" customWidth="1"/>
    <col min="2805" max="2806" width="2.28515625" style="1" customWidth="1"/>
    <col min="2807" max="2807" width="4.140625" style="1" customWidth="1"/>
    <col min="2808" max="2808" width="4" style="1" customWidth="1"/>
    <col min="2809" max="2809" width="12.7109375" style="1" customWidth="1"/>
    <col min="2810" max="2810" width="6.28515625" style="1" customWidth="1"/>
    <col min="2811" max="2811" width="5.42578125" style="1" customWidth="1"/>
    <col min="2812" max="2812" width="2.28515625" style="1" customWidth="1"/>
    <col min="2813" max="2813" width="7.7109375" style="1" customWidth="1"/>
    <col min="2814" max="2814" width="5.28515625" style="1" customWidth="1"/>
    <col min="2815" max="2827" width="3.28515625" style="1" customWidth="1"/>
    <col min="2828" max="3052" width="9.140625" style="1"/>
    <col min="3053" max="3053" width="6" style="1" customWidth="1"/>
    <col min="3054" max="3054" width="1.42578125" style="1" customWidth="1"/>
    <col min="3055" max="3055" width="3.85546875" style="1" customWidth="1"/>
    <col min="3056" max="3056" width="9.85546875" style="1" customWidth="1"/>
    <col min="3057" max="3057" width="7.28515625" style="1" customWidth="1"/>
    <col min="3058" max="3058" width="17.28515625" style="1" customWidth="1"/>
    <col min="3059" max="3059" width="2.7109375" style="1" customWidth="1"/>
    <col min="3060" max="3060" width="2.85546875" style="1" customWidth="1"/>
    <col min="3061" max="3062" width="2.28515625" style="1" customWidth="1"/>
    <col min="3063" max="3063" width="4.140625" style="1" customWidth="1"/>
    <col min="3064" max="3064" width="4" style="1" customWidth="1"/>
    <col min="3065" max="3065" width="12.7109375" style="1" customWidth="1"/>
    <col min="3066" max="3066" width="6.28515625" style="1" customWidth="1"/>
    <col min="3067" max="3067" width="5.42578125" style="1" customWidth="1"/>
    <col min="3068" max="3068" width="2.28515625" style="1" customWidth="1"/>
    <col min="3069" max="3069" width="7.7109375" style="1" customWidth="1"/>
    <col min="3070" max="3070" width="5.28515625" style="1" customWidth="1"/>
    <col min="3071" max="3083" width="3.28515625" style="1" customWidth="1"/>
    <col min="3084" max="3308" width="9.140625" style="1"/>
    <col min="3309" max="3309" width="6" style="1" customWidth="1"/>
    <col min="3310" max="3310" width="1.42578125" style="1" customWidth="1"/>
    <col min="3311" max="3311" width="3.85546875" style="1" customWidth="1"/>
    <col min="3312" max="3312" width="9.85546875" style="1" customWidth="1"/>
    <col min="3313" max="3313" width="7.28515625" style="1" customWidth="1"/>
    <col min="3314" max="3314" width="17.28515625" style="1" customWidth="1"/>
    <col min="3315" max="3315" width="2.7109375" style="1" customWidth="1"/>
    <col min="3316" max="3316" width="2.85546875" style="1" customWidth="1"/>
    <col min="3317" max="3318" width="2.28515625" style="1" customWidth="1"/>
    <col min="3319" max="3319" width="4.140625" style="1" customWidth="1"/>
    <col min="3320" max="3320" width="4" style="1" customWidth="1"/>
    <col min="3321" max="3321" width="12.7109375" style="1" customWidth="1"/>
    <col min="3322" max="3322" width="6.28515625" style="1" customWidth="1"/>
    <col min="3323" max="3323" width="5.42578125" style="1" customWidth="1"/>
    <col min="3324" max="3324" width="2.28515625" style="1" customWidth="1"/>
    <col min="3325" max="3325" width="7.7109375" style="1" customWidth="1"/>
    <col min="3326" max="3326" width="5.28515625" style="1" customWidth="1"/>
    <col min="3327" max="3339" width="3.28515625" style="1" customWidth="1"/>
    <col min="3340" max="3564" width="9.140625" style="1"/>
    <col min="3565" max="3565" width="6" style="1" customWidth="1"/>
    <col min="3566" max="3566" width="1.42578125" style="1" customWidth="1"/>
    <col min="3567" max="3567" width="3.85546875" style="1" customWidth="1"/>
    <col min="3568" max="3568" width="9.85546875" style="1" customWidth="1"/>
    <col min="3569" max="3569" width="7.28515625" style="1" customWidth="1"/>
    <col min="3570" max="3570" width="17.28515625" style="1" customWidth="1"/>
    <col min="3571" max="3571" width="2.7109375" style="1" customWidth="1"/>
    <col min="3572" max="3572" width="2.85546875" style="1" customWidth="1"/>
    <col min="3573" max="3574" width="2.28515625" style="1" customWidth="1"/>
    <col min="3575" max="3575" width="4.140625" style="1" customWidth="1"/>
    <col min="3576" max="3576" width="4" style="1" customWidth="1"/>
    <col min="3577" max="3577" width="12.7109375" style="1" customWidth="1"/>
    <col min="3578" max="3578" width="6.28515625" style="1" customWidth="1"/>
    <col min="3579" max="3579" width="5.42578125" style="1" customWidth="1"/>
    <col min="3580" max="3580" width="2.28515625" style="1" customWidth="1"/>
    <col min="3581" max="3581" width="7.7109375" style="1" customWidth="1"/>
    <col min="3582" max="3582" width="5.28515625" style="1" customWidth="1"/>
    <col min="3583" max="3595" width="3.28515625" style="1" customWidth="1"/>
    <col min="3596" max="3820" width="9.140625" style="1"/>
    <col min="3821" max="3821" width="6" style="1" customWidth="1"/>
    <col min="3822" max="3822" width="1.42578125" style="1" customWidth="1"/>
    <col min="3823" max="3823" width="3.85546875" style="1" customWidth="1"/>
    <col min="3824" max="3824" width="9.85546875" style="1" customWidth="1"/>
    <col min="3825" max="3825" width="7.28515625" style="1" customWidth="1"/>
    <col min="3826" max="3826" width="17.28515625" style="1" customWidth="1"/>
    <col min="3827" max="3827" width="2.7109375" style="1" customWidth="1"/>
    <col min="3828" max="3828" width="2.85546875" style="1" customWidth="1"/>
    <col min="3829" max="3830" width="2.28515625" style="1" customWidth="1"/>
    <col min="3831" max="3831" width="4.140625" style="1" customWidth="1"/>
    <col min="3832" max="3832" width="4" style="1" customWidth="1"/>
    <col min="3833" max="3833" width="12.7109375" style="1" customWidth="1"/>
    <col min="3834" max="3834" width="6.28515625" style="1" customWidth="1"/>
    <col min="3835" max="3835" width="5.42578125" style="1" customWidth="1"/>
    <col min="3836" max="3836" width="2.28515625" style="1" customWidth="1"/>
    <col min="3837" max="3837" width="7.7109375" style="1" customWidth="1"/>
    <col min="3838" max="3838" width="5.28515625" style="1" customWidth="1"/>
    <col min="3839" max="3851" width="3.28515625" style="1" customWidth="1"/>
    <col min="3852" max="4076" width="9.140625" style="1"/>
    <col min="4077" max="4077" width="6" style="1" customWidth="1"/>
    <col min="4078" max="4078" width="1.42578125" style="1" customWidth="1"/>
    <col min="4079" max="4079" width="3.85546875" style="1" customWidth="1"/>
    <col min="4080" max="4080" width="9.85546875" style="1" customWidth="1"/>
    <col min="4081" max="4081" width="7.28515625" style="1" customWidth="1"/>
    <col min="4082" max="4082" width="17.28515625" style="1" customWidth="1"/>
    <col min="4083" max="4083" width="2.7109375" style="1" customWidth="1"/>
    <col min="4084" max="4084" width="2.85546875" style="1" customWidth="1"/>
    <col min="4085" max="4086" width="2.28515625" style="1" customWidth="1"/>
    <col min="4087" max="4087" width="4.140625" style="1" customWidth="1"/>
    <col min="4088" max="4088" width="4" style="1" customWidth="1"/>
    <col min="4089" max="4089" width="12.7109375" style="1" customWidth="1"/>
    <col min="4090" max="4090" width="6.28515625" style="1" customWidth="1"/>
    <col min="4091" max="4091" width="5.42578125" style="1" customWidth="1"/>
    <col min="4092" max="4092" width="2.28515625" style="1" customWidth="1"/>
    <col min="4093" max="4093" width="7.7109375" style="1" customWidth="1"/>
    <col min="4094" max="4094" width="5.28515625" style="1" customWidth="1"/>
    <col min="4095" max="4107" width="3.28515625" style="1" customWidth="1"/>
    <col min="4108" max="4332" width="9.140625" style="1"/>
    <col min="4333" max="4333" width="6" style="1" customWidth="1"/>
    <col min="4334" max="4334" width="1.42578125" style="1" customWidth="1"/>
    <col min="4335" max="4335" width="3.85546875" style="1" customWidth="1"/>
    <col min="4336" max="4336" width="9.85546875" style="1" customWidth="1"/>
    <col min="4337" max="4337" width="7.28515625" style="1" customWidth="1"/>
    <col min="4338" max="4338" width="17.28515625" style="1" customWidth="1"/>
    <col min="4339" max="4339" width="2.7109375" style="1" customWidth="1"/>
    <col min="4340" max="4340" width="2.85546875" style="1" customWidth="1"/>
    <col min="4341" max="4342" width="2.28515625" style="1" customWidth="1"/>
    <col min="4343" max="4343" width="4.140625" style="1" customWidth="1"/>
    <col min="4344" max="4344" width="4" style="1" customWidth="1"/>
    <col min="4345" max="4345" width="12.7109375" style="1" customWidth="1"/>
    <col min="4346" max="4346" width="6.28515625" style="1" customWidth="1"/>
    <col min="4347" max="4347" width="5.42578125" style="1" customWidth="1"/>
    <col min="4348" max="4348" width="2.28515625" style="1" customWidth="1"/>
    <col min="4349" max="4349" width="7.7109375" style="1" customWidth="1"/>
    <col min="4350" max="4350" width="5.28515625" style="1" customWidth="1"/>
    <col min="4351" max="4363" width="3.28515625" style="1" customWidth="1"/>
    <col min="4364" max="4588" width="9.140625" style="1"/>
    <col min="4589" max="4589" width="6" style="1" customWidth="1"/>
    <col min="4590" max="4590" width="1.42578125" style="1" customWidth="1"/>
    <col min="4591" max="4591" width="3.85546875" style="1" customWidth="1"/>
    <col min="4592" max="4592" width="9.85546875" style="1" customWidth="1"/>
    <col min="4593" max="4593" width="7.28515625" style="1" customWidth="1"/>
    <col min="4594" max="4594" width="17.28515625" style="1" customWidth="1"/>
    <col min="4595" max="4595" width="2.7109375" style="1" customWidth="1"/>
    <col min="4596" max="4596" width="2.85546875" style="1" customWidth="1"/>
    <col min="4597" max="4598" width="2.28515625" style="1" customWidth="1"/>
    <col min="4599" max="4599" width="4.140625" style="1" customWidth="1"/>
    <col min="4600" max="4600" width="4" style="1" customWidth="1"/>
    <col min="4601" max="4601" width="12.7109375" style="1" customWidth="1"/>
    <col min="4602" max="4602" width="6.28515625" style="1" customWidth="1"/>
    <col min="4603" max="4603" width="5.42578125" style="1" customWidth="1"/>
    <col min="4604" max="4604" width="2.28515625" style="1" customWidth="1"/>
    <col min="4605" max="4605" width="7.7109375" style="1" customWidth="1"/>
    <col min="4606" max="4606" width="5.28515625" style="1" customWidth="1"/>
    <col min="4607" max="4619" width="3.28515625" style="1" customWidth="1"/>
    <col min="4620" max="4844" width="9.140625" style="1"/>
    <col min="4845" max="4845" width="6" style="1" customWidth="1"/>
    <col min="4846" max="4846" width="1.42578125" style="1" customWidth="1"/>
    <col min="4847" max="4847" width="3.85546875" style="1" customWidth="1"/>
    <col min="4848" max="4848" width="9.85546875" style="1" customWidth="1"/>
    <col min="4849" max="4849" width="7.28515625" style="1" customWidth="1"/>
    <col min="4850" max="4850" width="17.28515625" style="1" customWidth="1"/>
    <col min="4851" max="4851" width="2.7109375" style="1" customWidth="1"/>
    <col min="4852" max="4852" width="2.85546875" style="1" customWidth="1"/>
    <col min="4853" max="4854" width="2.28515625" style="1" customWidth="1"/>
    <col min="4855" max="4855" width="4.140625" style="1" customWidth="1"/>
    <col min="4856" max="4856" width="4" style="1" customWidth="1"/>
    <col min="4857" max="4857" width="12.7109375" style="1" customWidth="1"/>
    <col min="4858" max="4858" width="6.28515625" style="1" customWidth="1"/>
    <col min="4859" max="4859" width="5.42578125" style="1" customWidth="1"/>
    <col min="4860" max="4860" width="2.28515625" style="1" customWidth="1"/>
    <col min="4861" max="4861" width="7.7109375" style="1" customWidth="1"/>
    <col min="4862" max="4862" width="5.28515625" style="1" customWidth="1"/>
    <col min="4863" max="4875" width="3.28515625" style="1" customWidth="1"/>
    <col min="4876" max="5100" width="9.140625" style="1"/>
    <col min="5101" max="5101" width="6" style="1" customWidth="1"/>
    <col min="5102" max="5102" width="1.42578125" style="1" customWidth="1"/>
    <col min="5103" max="5103" width="3.85546875" style="1" customWidth="1"/>
    <col min="5104" max="5104" width="9.85546875" style="1" customWidth="1"/>
    <col min="5105" max="5105" width="7.28515625" style="1" customWidth="1"/>
    <col min="5106" max="5106" width="17.28515625" style="1" customWidth="1"/>
    <col min="5107" max="5107" width="2.7109375" style="1" customWidth="1"/>
    <col min="5108" max="5108" width="2.85546875" style="1" customWidth="1"/>
    <col min="5109" max="5110" width="2.28515625" style="1" customWidth="1"/>
    <col min="5111" max="5111" width="4.140625" style="1" customWidth="1"/>
    <col min="5112" max="5112" width="4" style="1" customWidth="1"/>
    <col min="5113" max="5113" width="12.7109375" style="1" customWidth="1"/>
    <col min="5114" max="5114" width="6.28515625" style="1" customWidth="1"/>
    <col min="5115" max="5115" width="5.42578125" style="1" customWidth="1"/>
    <col min="5116" max="5116" width="2.28515625" style="1" customWidth="1"/>
    <col min="5117" max="5117" width="7.7109375" style="1" customWidth="1"/>
    <col min="5118" max="5118" width="5.28515625" style="1" customWidth="1"/>
    <col min="5119" max="5131" width="3.28515625" style="1" customWidth="1"/>
    <col min="5132" max="5356" width="9.140625" style="1"/>
    <col min="5357" max="5357" width="6" style="1" customWidth="1"/>
    <col min="5358" max="5358" width="1.42578125" style="1" customWidth="1"/>
    <col min="5359" max="5359" width="3.85546875" style="1" customWidth="1"/>
    <col min="5360" max="5360" width="9.85546875" style="1" customWidth="1"/>
    <col min="5361" max="5361" width="7.28515625" style="1" customWidth="1"/>
    <col min="5362" max="5362" width="17.28515625" style="1" customWidth="1"/>
    <col min="5363" max="5363" width="2.7109375" style="1" customWidth="1"/>
    <col min="5364" max="5364" width="2.85546875" style="1" customWidth="1"/>
    <col min="5365" max="5366" width="2.28515625" style="1" customWidth="1"/>
    <col min="5367" max="5367" width="4.140625" style="1" customWidth="1"/>
    <col min="5368" max="5368" width="4" style="1" customWidth="1"/>
    <col min="5369" max="5369" width="12.7109375" style="1" customWidth="1"/>
    <col min="5370" max="5370" width="6.28515625" style="1" customWidth="1"/>
    <col min="5371" max="5371" width="5.42578125" style="1" customWidth="1"/>
    <col min="5372" max="5372" width="2.28515625" style="1" customWidth="1"/>
    <col min="5373" max="5373" width="7.7109375" style="1" customWidth="1"/>
    <col min="5374" max="5374" width="5.28515625" style="1" customWidth="1"/>
    <col min="5375" max="5387" width="3.28515625" style="1" customWidth="1"/>
    <col min="5388" max="5612" width="9.140625" style="1"/>
    <col min="5613" max="5613" width="6" style="1" customWidth="1"/>
    <col min="5614" max="5614" width="1.42578125" style="1" customWidth="1"/>
    <col min="5615" max="5615" width="3.85546875" style="1" customWidth="1"/>
    <col min="5616" max="5616" width="9.85546875" style="1" customWidth="1"/>
    <col min="5617" max="5617" width="7.28515625" style="1" customWidth="1"/>
    <col min="5618" max="5618" width="17.28515625" style="1" customWidth="1"/>
    <col min="5619" max="5619" width="2.7109375" style="1" customWidth="1"/>
    <col min="5620" max="5620" width="2.85546875" style="1" customWidth="1"/>
    <col min="5621" max="5622" width="2.28515625" style="1" customWidth="1"/>
    <col min="5623" max="5623" width="4.140625" style="1" customWidth="1"/>
    <col min="5624" max="5624" width="4" style="1" customWidth="1"/>
    <col min="5625" max="5625" width="12.7109375" style="1" customWidth="1"/>
    <col min="5626" max="5626" width="6.28515625" style="1" customWidth="1"/>
    <col min="5627" max="5627" width="5.42578125" style="1" customWidth="1"/>
    <col min="5628" max="5628" width="2.28515625" style="1" customWidth="1"/>
    <col min="5629" max="5629" width="7.7109375" style="1" customWidth="1"/>
    <col min="5630" max="5630" width="5.28515625" style="1" customWidth="1"/>
    <col min="5631" max="5643" width="3.28515625" style="1" customWidth="1"/>
    <col min="5644" max="5868" width="9.140625" style="1"/>
    <col min="5869" max="5869" width="6" style="1" customWidth="1"/>
    <col min="5870" max="5870" width="1.42578125" style="1" customWidth="1"/>
    <col min="5871" max="5871" width="3.85546875" style="1" customWidth="1"/>
    <col min="5872" max="5872" width="9.85546875" style="1" customWidth="1"/>
    <col min="5873" max="5873" width="7.28515625" style="1" customWidth="1"/>
    <col min="5874" max="5874" width="17.28515625" style="1" customWidth="1"/>
    <col min="5875" max="5875" width="2.7109375" style="1" customWidth="1"/>
    <col min="5876" max="5876" width="2.85546875" style="1" customWidth="1"/>
    <col min="5877" max="5878" width="2.28515625" style="1" customWidth="1"/>
    <col min="5879" max="5879" width="4.140625" style="1" customWidth="1"/>
    <col min="5880" max="5880" width="4" style="1" customWidth="1"/>
    <col min="5881" max="5881" width="12.7109375" style="1" customWidth="1"/>
    <col min="5882" max="5882" width="6.28515625" style="1" customWidth="1"/>
    <col min="5883" max="5883" width="5.42578125" style="1" customWidth="1"/>
    <col min="5884" max="5884" width="2.28515625" style="1" customWidth="1"/>
    <col min="5885" max="5885" width="7.7109375" style="1" customWidth="1"/>
    <col min="5886" max="5886" width="5.28515625" style="1" customWidth="1"/>
    <col min="5887" max="5899" width="3.28515625" style="1" customWidth="1"/>
    <col min="5900" max="6124" width="9.140625" style="1"/>
    <col min="6125" max="6125" width="6" style="1" customWidth="1"/>
    <col min="6126" max="6126" width="1.42578125" style="1" customWidth="1"/>
    <col min="6127" max="6127" width="3.85546875" style="1" customWidth="1"/>
    <col min="6128" max="6128" width="9.85546875" style="1" customWidth="1"/>
    <col min="6129" max="6129" width="7.28515625" style="1" customWidth="1"/>
    <col min="6130" max="6130" width="17.28515625" style="1" customWidth="1"/>
    <col min="6131" max="6131" width="2.7109375" style="1" customWidth="1"/>
    <col min="6132" max="6132" width="2.85546875" style="1" customWidth="1"/>
    <col min="6133" max="6134" width="2.28515625" style="1" customWidth="1"/>
    <col min="6135" max="6135" width="4.140625" style="1" customWidth="1"/>
    <col min="6136" max="6136" width="4" style="1" customWidth="1"/>
    <col min="6137" max="6137" width="12.7109375" style="1" customWidth="1"/>
    <col min="6138" max="6138" width="6.28515625" style="1" customWidth="1"/>
    <col min="6139" max="6139" width="5.42578125" style="1" customWidth="1"/>
    <col min="6140" max="6140" width="2.28515625" style="1" customWidth="1"/>
    <col min="6141" max="6141" width="7.7109375" style="1" customWidth="1"/>
    <col min="6142" max="6142" width="5.28515625" style="1" customWidth="1"/>
    <col min="6143" max="6155" width="3.28515625" style="1" customWidth="1"/>
    <col min="6156" max="6380" width="9.140625" style="1"/>
    <col min="6381" max="6381" width="6" style="1" customWidth="1"/>
    <col min="6382" max="6382" width="1.42578125" style="1" customWidth="1"/>
    <col min="6383" max="6383" width="3.85546875" style="1" customWidth="1"/>
    <col min="6384" max="6384" width="9.85546875" style="1" customWidth="1"/>
    <col min="6385" max="6385" width="7.28515625" style="1" customWidth="1"/>
    <col min="6386" max="6386" width="17.28515625" style="1" customWidth="1"/>
    <col min="6387" max="6387" width="2.7109375" style="1" customWidth="1"/>
    <col min="6388" max="6388" width="2.85546875" style="1" customWidth="1"/>
    <col min="6389" max="6390" width="2.28515625" style="1" customWidth="1"/>
    <col min="6391" max="6391" width="4.140625" style="1" customWidth="1"/>
    <col min="6392" max="6392" width="4" style="1" customWidth="1"/>
    <col min="6393" max="6393" width="12.7109375" style="1" customWidth="1"/>
    <col min="6394" max="6394" width="6.28515625" style="1" customWidth="1"/>
    <col min="6395" max="6395" width="5.42578125" style="1" customWidth="1"/>
    <col min="6396" max="6396" width="2.28515625" style="1" customWidth="1"/>
    <col min="6397" max="6397" width="7.7109375" style="1" customWidth="1"/>
    <col min="6398" max="6398" width="5.28515625" style="1" customWidth="1"/>
    <col min="6399" max="6411" width="3.28515625" style="1" customWidth="1"/>
    <col min="6412" max="6636" width="9.140625" style="1"/>
    <col min="6637" max="6637" width="6" style="1" customWidth="1"/>
    <col min="6638" max="6638" width="1.42578125" style="1" customWidth="1"/>
    <col min="6639" max="6639" width="3.85546875" style="1" customWidth="1"/>
    <col min="6640" max="6640" width="9.85546875" style="1" customWidth="1"/>
    <col min="6641" max="6641" width="7.28515625" style="1" customWidth="1"/>
    <col min="6642" max="6642" width="17.28515625" style="1" customWidth="1"/>
    <col min="6643" max="6643" width="2.7109375" style="1" customWidth="1"/>
    <col min="6644" max="6644" width="2.85546875" style="1" customWidth="1"/>
    <col min="6645" max="6646" width="2.28515625" style="1" customWidth="1"/>
    <col min="6647" max="6647" width="4.140625" style="1" customWidth="1"/>
    <col min="6648" max="6648" width="4" style="1" customWidth="1"/>
    <col min="6649" max="6649" width="12.7109375" style="1" customWidth="1"/>
    <col min="6650" max="6650" width="6.28515625" style="1" customWidth="1"/>
    <col min="6651" max="6651" width="5.42578125" style="1" customWidth="1"/>
    <col min="6652" max="6652" width="2.28515625" style="1" customWidth="1"/>
    <col min="6653" max="6653" width="7.7109375" style="1" customWidth="1"/>
    <col min="6654" max="6654" width="5.28515625" style="1" customWidth="1"/>
    <col min="6655" max="6667" width="3.28515625" style="1" customWidth="1"/>
    <col min="6668" max="6892" width="9.140625" style="1"/>
    <col min="6893" max="6893" width="6" style="1" customWidth="1"/>
    <col min="6894" max="6894" width="1.42578125" style="1" customWidth="1"/>
    <col min="6895" max="6895" width="3.85546875" style="1" customWidth="1"/>
    <col min="6896" max="6896" width="9.85546875" style="1" customWidth="1"/>
    <col min="6897" max="6897" width="7.28515625" style="1" customWidth="1"/>
    <col min="6898" max="6898" width="17.28515625" style="1" customWidth="1"/>
    <col min="6899" max="6899" width="2.7109375" style="1" customWidth="1"/>
    <col min="6900" max="6900" width="2.85546875" style="1" customWidth="1"/>
    <col min="6901" max="6902" width="2.28515625" style="1" customWidth="1"/>
    <col min="6903" max="6903" width="4.140625" style="1" customWidth="1"/>
    <col min="6904" max="6904" width="4" style="1" customWidth="1"/>
    <col min="6905" max="6905" width="12.7109375" style="1" customWidth="1"/>
    <col min="6906" max="6906" width="6.28515625" style="1" customWidth="1"/>
    <col min="6907" max="6907" width="5.42578125" style="1" customWidth="1"/>
    <col min="6908" max="6908" width="2.28515625" style="1" customWidth="1"/>
    <col min="6909" max="6909" width="7.7109375" style="1" customWidth="1"/>
    <col min="6910" max="6910" width="5.28515625" style="1" customWidth="1"/>
    <col min="6911" max="6923" width="3.28515625" style="1" customWidth="1"/>
    <col min="6924" max="7148" width="9.140625" style="1"/>
    <col min="7149" max="7149" width="6" style="1" customWidth="1"/>
    <col min="7150" max="7150" width="1.42578125" style="1" customWidth="1"/>
    <col min="7151" max="7151" width="3.85546875" style="1" customWidth="1"/>
    <col min="7152" max="7152" width="9.85546875" style="1" customWidth="1"/>
    <col min="7153" max="7153" width="7.28515625" style="1" customWidth="1"/>
    <col min="7154" max="7154" width="17.28515625" style="1" customWidth="1"/>
    <col min="7155" max="7155" width="2.7109375" style="1" customWidth="1"/>
    <col min="7156" max="7156" width="2.85546875" style="1" customWidth="1"/>
    <col min="7157" max="7158" width="2.28515625" style="1" customWidth="1"/>
    <col min="7159" max="7159" width="4.140625" style="1" customWidth="1"/>
    <col min="7160" max="7160" width="4" style="1" customWidth="1"/>
    <col min="7161" max="7161" width="12.7109375" style="1" customWidth="1"/>
    <col min="7162" max="7162" width="6.28515625" style="1" customWidth="1"/>
    <col min="7163" max="7163" width="5.42578125" style="1" customWidth="1"/>
    <col min="7164" max="7164" width="2.28515625" style="1" customWidth="1"/>
    <col min="7165" max="7165" width="7.7109375" style="1" customWidth="1"/>
    <col min="7166" max="7166" width="5.28515625" style="1" customWidth="1"/>
    <col min="7167" max="7179" width="3.28515625" style="1" customWidth="1"/>
    <col min="7180" max="7404" width="9.140625" style="1"/>
    <col min="7405" max="7405" width="6" style="1" customWidth="1"/>
    <col min="7406" max="7406" width="1.42578125" style="1" customWidth="1"/>
    <col min="7407" max="7407" width="3.85546875" style="1" customWidth="1"/>
    <col min="7408" max="7408" width="9.85546875" style="1" customWidth="1"/>
    <col min="7409" max="7409" width="7.28515625" style="1" customWidth="1"/>
    <col min="7410" max="7410" width="17.28515625" style="1" customWidth="1"/>
    <col min="7411" max="7411" width="2.7109375" style="1" customWidth="1"/>
    <col min="7412" max="7412" width="2.85546875" style="1" customWidth="1"/>
    <col min="7413" max="7414" width="2.28515625" style="1" customWidth="1"/>
    <col min="7415" max="7415" width="4.140625" style="1" customWidth="1"/>
    <col min="7416" max="7416" width="4" style="1" customWidth="1"/>
    <col min="7417" max="7417" width="12.7109375" style="1" customWidth="1"/>
    <col min="7418" max="7418" width="6.28515625" style="1" customWidth="1"/>
    <col min="7419" max="7419" width="5.42578125" style="1" customWidth="1"/>
    <col min="7420" max="7420" width="2.28515625" style="1" customWidth="1"/>
    <col min="7421" max="7421" width="7.7109375" style="1" customWidth="1"/>
    <col min="7422" max="7422" width="5.28515625" style="1" customWidth="1"/>
    <col min="7423" max="7435" width="3.28515625" style="1" customWidth="1"/>
    <col min="7436" max="7660" width="9.140625" style="1"/>
    <col min="7661" max="7661" width="6" style="1" customWidth="1"/>
    <col min="7662" max="7662" width="1.42578125" style="1" customWidth="1"/>
    <col min="7663" max="7663" width="3.85546875" style="1" customWidth="1"/>
    <col min="7664" max="7664" width="9.85546875" style="1" customWidth="1"/>
    <col min="7665" max="7665" width="7.28515625" style="1" customWidth="1"/>
    <col min="7666" max="7666" width="17.28515625" style="1" customWidth="1"/>
    <col min="7667" max="7667" width="2.7109375" style="1" customWidth="1"/>
    <col min="7668" max="7668" width="2.85546875" style="1" customWidth="1"/>
    <col min="7669" max="7670" width="2.28515625" style="1" customWidth="1"/>
    <col min="7671" max="7671" width="4.140625" style="1" customWidth="1"/>
    <col min="7672" max="7672" width="4" style="1" customWidth="1"/>
    <col min="7673" max="7673" width="12.7109375" style="1" customWidth="1"/>
    <col min="7674" max="7674" width="6.28515625" style="1" customWidth="1"/>
    <col min="7675" max="7675" width="5.42578125" style="1" customWidth="1"/>
    <col min="7676" max="7676" width="2.28515625" style="1" customWidth="1"/>
    <col min="7677" max="7677" width="7.7109375" style="1" customWidth="1"/>
    <col min="7678" max="7678" width="5.28515625" style="1" customWidth="1"/>
    <col min="7679" max="7691" width="3.28515625" style="1" customWidth="1"/>
    <col min="7692" max="7916" width="9.140625" style="1"/>
    <col min="7917" max="7917" width="6" style="1" customWidth="1"/>
    <col min="7918" max="7918" width="1.42578125" style="1" customWidth="1"/>
    <col min="7919" max="7919" width="3.85546875" style="1" customWidth="1"/>
    <col min="7920" max="7920" width="9.85546875" style="1" customWidth="1"/>
    <col min="7921" max="7921" width="7.28515625" style="1" customWidth="1"/>
    <col min="7922" max="7922" width="17.28515625" style="1" customWidth="1"/>
    <col min="7923" max="7923" width="2.7109375" style="1" customWidth="1"/>
    <col min="7924" max="7924" width="2.85546875" style="1" customWidth="1"/>
    <col min="7925" max="7926" width="2.28515625" style="1" customWidth="1"/>
    <col min="7927" max="7927" width="4.140625" style="1" customWidth="1"/>
    <col min="7928" max="7928" width="4" style="1" customWidth="1"/>
    <col min="7929" max="7929" width="12.7109375" style="1" customWidth="1"/>
    <col min="7930" max="7930" width="6.28515625" style="1" customWidth="1"/>
    <col min="7931" max="7931" width="5.42578125" style="1" customWidth="1"/>
    <col min="7932" max="7932" width="2.28515625" style="1" customWidth="1"/>
    <col min="7933" max="7933" width="7.7109375" style="1" customWidth="1"/>
    <col min="7934" max="7934" width="5.28515625" style="1" customWidth="1"/>
    <col min="7935" max="7947" width="3.28515625" style="1" customWidth="1"/>
    <col min="7948" max="8172" width="9.140625" style="1"/>
    <col min="8173" max="8173" width="6" style="1" customWidth="1"/>
    <col min="8174" max="8174" width="1.42578125" style="1" customWidth="1"/>
    <col min="8175" max="8175" width="3.85546875" style="1" customWidth="1"/>
    <col min="8176" max="8176" width="9.85546875" style="1" customWidth="1"/>
    <col min="8177" max="8177" width="7.28515625" style="1" customWidth="1"/>
    <col min="8178" max="8178" width="17.28515625" style="1" customWidth="1"/>
    <col min="8179" max="8179" width="2.7109375" style="1" customWidth="1"/>
    <col min="8180" max="8180" width="2.85546875" style="1" customWidth="1"/>
    <col min="8181" max="8182" width="2.28515625" style="1" customWidth="1"/>
    <col min="8183" max="8183" width="4.140625" style="1" customWidth="1"/>
    <col min="8184" max="8184" width="4" style="1" customWidth="1"/>
    <col min="8185" max="8185" width="12.7109375" style="1" customWidth="1"/>
    <col min="8186" max="8186" width="6.28515625" style="1" customWidth="1"/>
    <col min="8187" max="8187" width="5.42578125" style="1" customWidth="1"/>
    <col min="8188" max="8188" width="2.28515625" style="1" customWidth="1"/>
    <col min="8189" max="8189" width="7.7109375" style="1" customWidth="1"/>
    <col min="8190" max="8190" width="5.28515625" style="1" customWidth="1"/>
    <col min="8191" max="8203" width="3.28515625" style="1" customWidth="1"/>
    <col min="8204" max="8428" width="9.140625" style="1"/>
    <col min="8429" max="8429" width="6" style="1" customWidth="1"/>
    <col min="8430" max="8430" width="1.42578125" style="1" customWidth="1"/>
    <col min="8431" max="8431" width="3.85546875" style="1" customWidth="1"/>
    <col min="8432" max="8432" width="9.85546875" style="1" customWidth="1"/>
    <col min="8433" max="8433" width="7.28515625" style="1" customWidth="1"/>
    <col min="8434" max="8434" width="17.28515625" style="1" customWidth="1"/>
    <col min="8435" max="8435" width="2.7109375" style="1" customWidth="1"/>
    <col min="8436" max="8436" width="2.85546875" style="1" customWidth="1"/>
    <col min="8437" max="8438" width="2.28515625" style="1" customWidth="1"/>
    <col min="8439" max="8439" width="4.140625" style="1" customWidth="1"/>
    <col min="8440" max="8440" width="4" style="1" customWidth="1"/>
    <col min="8441" max="8441" width="12.7109375" style="1" customWidth="1"/>
    <col min="8442" max="8442" width="6.28515625" style="1" customWidth="1"/>
    <col min="8443" max="8443" width="5.42578125" style="1" customWidth="1"/>
    <col min="8444" max="8444" width="2.28515625" style="1" customWidth="1"/>
    <col min="8445" max="8445" width="7.7109375" style="1" customWidth="1"/>
    <col min="8446" max="8446" width="5.28515625" style="1" customWidth="1"/>
    <col min="8447" max="8459" width="3.28515625" style="1" customWidth="1"/>
    <col min="8460" max="8684" width="9.140625" style="1"/>
    <col min="8685" max="8685" width="6" style="1" customWidth="1"/>
    <col min="8686" max="8686" width="1.42578125" style="1" customWidth="1"/>
    <col min="8687" max="8687" width="3.85546875" style="1" customWidth="1"/>
    <col min="8688" max="8688" width="9.85546875" style="1" customWidth="1"/>
    <col min="8689" max="8689" width="7.28515625" style="1" customWidth="1"/>
    <col min="8690" max="8690" width="17.28515625" style="1" customWidth="1"/>
    <col min="8691" max="8691" width="2.7109375" style="1" customWidth="1"/>
    <col min="8692" max="8692" width="2.85546875" style="1" customWidth="1"/>
    <col min="8693" max="8694" width="2.28515625" style="1" customWidth="1"/>
    <col min="8695" max="8695" width="4.140625" style="1" customWidth="1"/>
    <col min="8696" max="8696" width="4" style="1" customWidth="1"/>
    <col min="8697" max="8697" width="12.7109375" style="1" customWidth="1"/>
    <col min="8698" max="8698" width="6.28515625" style="1" customWidth="1"/>
    <col min="8699" max="8699" width="5.42578125" style="1" customWidth="1"/>
    <col min="8700" max="8700" width="2.28515625" style="1" customWidth="1"/>
    <col min="8701" max="8701" width="7.7109375" style="1" customWidth="1"/>
    <col min="8702" max="8702" width="5.28515625" style="1" customWidth="1"/>
    <col min="8703" max="8715" width="3.28515625" style="1" customWidth="1"/>
    <col min="8716" max="8940" width="9.140625" style="1"/>
    <col min="8941" max="8941" width="6" style="1" customWidth="1"/>
    <col min="8942" max="8942" width="1.42578125" style="1" customWidth="1"/>
    <col min="8943" max="8943" width="3.85546875" style="1" customWidth="1"/>
    <col min="8944" max="8944" width="9.85546875" style="1" customWidth="1"/>
    <col min="8945" max="8945" width="7.28515625" style="1" customWidth="1"/>
    <col min="8946" max="8946" width="17.28515625" style="1" customWidth="1"/>
    <col min="8947" max="8947" width="2.7109375" style="1" customWidth="1"/>
    <col min="8948" max="8948" width="2.85546875" style="1" customWidth="1"/>
    <col min="8949" max="8950" width="2.28515625" style="1" customWidth="1"/>
    <col min="8951" max="8951" width="4.140625" style="1" customWidth="1"/>
    <col min="8952" max="8952" width="4" style="1" customWidth="1"/>
    <col min="8953" max="8953" width="12.7109375" style="1" customWidth="1"/>
    <col min="8954" max="8954" width="6.28515625" style="1" customWidth="1"/>
    <col min="8955" max="8955" width="5.42578125" style="1" customWidth="1"/>
    <col min="8956" max="8956" width="2.28515625" style="1" customWidth="1"/>
    <col min="8957" max="8957" width="7.7109375" style="1" customWidth="1"/>
    <col min="8958" max="8958" width="5.28515625" style="1" customWidth="1"/>
    <col min="8959" max="8971" width="3.28515625" style="1" customWidth="1"/>
    <col min="8972" max="9196" width="9.140625" style="1"/>
    <col min="9197" max="9197" width="6" style="1" customWidth="1"/>
    <col min="9198" max="9198" width="1.42578125" style="1" customWidth="1"/>
    <col min="9199" max="9199" width="3.85546875" style="1" customWidth="1"/>
    <col min="9200" max="9200" width="9.85546875" style="1" customWidth="1"/>
    <col min="9201" max="9201" width="7.28515625" style="1" customWidth="1"/>
    <col min="9202" max="9202" width="17.28515625" style="1" customWidth="1"/>
    <col min="9203" max="9203" width="2.7109375" style="1" customWidth="1"/>
    <col min="9204" max="9204" width="2.85546875" style="1" customWidth="1"/>
    <col min="9205" max="9206" width="2.28515625" style="1" customWidth="1"/>
    <col min="9207" max="9207" width="4.140625" style="1" customWidth="1"/>
    <col min="9208" max="9208" width="4" style="1" customWidth="1"/>
    <col min="9209" max="9209" width="12.7109375" style="1" customWidth="1"/>
    <col min="9210" max="9210" width="6.28515625" style="1" customWidth="1"/>
    <col min="9211" max="9211" width="5.42578125" style="1" customWidth="1"/>
    <col min="9212" max="9212" width="2.28515625" style="1" customWidth="1"/>
    <col min="9213" max="9213" width="7.7109375" style="1" customWidth="1"/>
    <col min="9214" max="9214" width="5.28515625" style="1" customWidth="1"/>
    <col min="9215" max="9227" width="3.28515625" style="1" customWidth="1"/>
    <col min="9228" max="9452" width="9.140625" style="1"/>
    <col min="9453" max="9453" width="6" style="1" customWidth="1"/>
    <col min="9454" max="9454" width="1.42578125" style="1" customWidth="1"/>
    <col min="9455" max="9455" width="3.85546875" style="1" customWidth="1"/>
    <col min="9456" max="9456" width="9.85546875" style="1" customWidth="1"/>
    <col min="9457" max="9457" width="7.28515625" style="1" customWidth="1"/>
    <col min="9458" max="9458" width="17.28515625" style="1" customWidth="1"/>
    <col min="9459" max="9459" width="2.7109375" style="1" customWidth="1"/>
    <col min="9460" max="9460" width="2.85546875" style="1" customWidth="1"/>
    <col min="9461" max="9462" width="2.28515625" style="1" customWidth="1"/>
    <col min="9463" max="9463" width="4.140625" style="1" customWidth="1"/>
    <col min="9464" max="9464" width="4" style="1" customWidth="1"/>
    <col min="9465" max="9465" width="12.7109375" style="1" customWidth="1"/>
    <col min="9466" max="9466" width="6.28515625" style="1" customWidth="1"/>
    <col min="9467" max="9467" width="5.42578125" style="1" customWidth="1"/>
    <col min="9468" max="9468" width="2.28515625" style="1" customWidth="1"/>
    <col min="9469" max="9469" width="7.7109375" style="1" customWidth="1"/>
    <col min="9470" max="9470" width="5.28515625" style="1" customWidth="1"/>
    <col min="9471" max="9483" width="3.28515625" style="1" customWidth="1"/>
    <col min="9484" max="9708" width="9.140625" style="1"/>
    <col min="9709" max="9709" width="6" style="1" customWidth="1"/>
    <col min="9710" max="9710" width="1.42578125" style="1" customWidth="1"/>
    <col min="9711" max="9711" width="3.85546875" style="1" customWidth="1"/>
    <col min="9712" max="9712" width="9.85546875" style="1" customWidth="1"/>
    <col min="9713" max="9713" width="7.28515625" style="1" customWidth="1"/>
    <col min="9714" max="9714" width="17.28515625" style="1" customWidth="1"/>
    <col min="9715" max="9715" width="2.7109375" style="1" customWidth="1"/>
    <col min="9716" max="9716" width="2.85546875" style="1" customWidth="1"/>
    <col min="9717" max="9718" width="2.28515625" style="1" customWidth="1"/>
    <col min="9719" max="9719" width="4.140625" style="1" customWidth="1"/>
    <col min="9720" max="9720" width="4" style="1" customWidth="1"/>
    <col min="9721" max="9721" width="12.7109375" style="1" customWidth="1"/>
    <col min="9722" max="9722" width="6.28515625" style="1" customWidth="1"/>
    <col min="9723" max="9723" width="5.42578125" style="1" customWidth="1"/>
    <col min="9724" max="9724" width="2.28515625" style="1" customWidth="1"/>
    <col min="9725" max="9725" width="7.7109375" style="1" customWidth="1"/>
    <col min="9726" max="9726" width="5.28515625" style="1" customWidth="1"/>
    <col min="9727" max="9739" width="3.28515625" style="1" customWidth="1"/>
    <col min="9740" max="9964" width="9.140625" style="1"/>
    <col min="9965" max="9965" width="6" style="1" customWidth="1"/>
    <col min="9966" max="9966" width="1.42578125" style="1" customWidth="1"/>
    <col min="9967" max="9967" width="3.85546875" style="1" customWidth="1"/>
    <col min="9968" max="9968" width="9.85546875" style="1" customWidth="1"/>
    <col min="9969" max="9969" width="7.28515625" style="1" customWidth="1"/>
    <col min="9970" max="9970" width="17.28515625" style="1" customWidth="1"/>
    <col min="9971" max="9971" width="2.7109375" style="1" customWidth="1"/>
    <col min="9972" max="9972" width="2.85546875" style="1" customWidth="1"/>
    <col min="9973" max="9974" width="2.28515625" style="1" customWidth="1"/>
    <col min="9975" max="9975" width="4.140625" style="1" customWidth="1"/>
    <col min="9976" max="9976" width="4" style="1" customWidth="1"/>
    <col min="9977" max="9977" width="12.7109375" style="1" customWidth="1"/>
    <col min="9978" max="9978" width="6.28515625" style="1" customWidth="1"/>
    <col min="9979" max="9979" width="5.42578125" style="1" customWidth="1"/>
    <col min="9980" max="9980" width="2.28515625" style="1" customWidth="1"/>
    <col min="9981" max="9981" width="7.7109375" style="1" customWidth="1"/>
    <col min="9982" max="9982" width="5.28515625" style="1" customWidth="1"/>
    <col min="9983" max="9995" width="3.28515625" style="1" customWidth="1"/>
    <col min="9996" max="10220" width="9.140625" style="1"/>
    <col min="10221" max="10221" width="6" style="1" customWidth="1"/>
    <col min="10222" max="10222" width="1.42578125" style="1" customWidth="1"/>
    <col min="10223" max="10223" width="3.85546875" style="1" customWidth="1"/>
    <col min="10224" max="10224" width="9.85546875" style="1" customWidth="1"/>
    <col min="10225" max="10225" width="7.28515625" style="1" customWidth="1"/>
    <col min="10226" max="10226" width="17.28515625" style="1" customWidth="1"/>
    <col min="10227" max="10227" width="2.7109375" style="1" customWidth="1"/>
    <col min="10228" max="10228" width="2.85546875" style="1" customWidth="1"/>
    <col min="10229" max="10230" width="2.28515625" style="1" customWidth="1"/>
    <col min="10231" max="10231" width="4.140625" style="1" customWidth="1"/>
    <col min="10232" max="10232" width="4" style="1" customWidth="1"/>
    <col min="10233" max="10233" width="12.7109375" style="1" customWidth="1"/>
    <col min="10234" max="10234" width="6.28515625" style="1" customWidth="1"/>
    <col min="10235" max="10235" width="5.42578125" style="1" customWidth="1"/>
    <col min="10236" max="10236" width="2.28515625" style="1" customWidth="1"/>
    <col min="10237" max="10237" width="7.7109375" style="1" customWidth="1"/>
    <col min="10238" max="10238" width="5.28515625" style="1" customWidth="1"/>
    <col min="10239" max="10251" width="3.28515625" style="1" customWidth="1"/>
    <col min="10252" max="10476" width="9.140625" style="1"/>
    <col min="10477" max="10477" width="6" style="1" customWidth="1"/>
    <col min="10478" max="10478" width="1.42578125" style="1" customWidth="1"/>
    <col min="10479" max="10479" width="3.85546875" style="1" customWidth="1"/>
    <col min="10480" max="10480" width="9.85546875" style="1" customWidth="1"/>
    <col min="10481" max="10481" width="7.28515625" style="1" customWidth="1"/>
    <col min="10482" max="10482" width="17.28515625" style="1" customWidth="1"/>
    <col min="10483" max="10483" width="2.7109375" style="1" customWidth="1"/>
    <col min="10484" max="10484" width="2.85546875" style="1" customWidth="1"/>
    <col min="10485" max="10486" width="2.28515625" style="1" customWidth="1"/>
    <col min="10487" max="10487" width="4.140625" style="1" customWidth="1"/>
    <col min="10488" max="10488" width="4" style="1" customWidth="1"/>
    <col min="10489" max="10489" width="12.7109375" style="1" customWidth="1"/>
    <col min="10490" max="10490" width="6.28515625" style="1" customWidth="1"/>
    <col min="10491" max="10491" width="5.42578125" style="1" customWidth="1"/>
    <col min="10492" max="10492" width="2.28515625" style="1" customWidth="1"/>
    <col min="10493" max="10493" width="7.7109375" style="1" customWidth="1"/>
    <col min="10494" max="10494" width="5.28515625" style="1" customWidth="1"/>
    <col min="10495" max="10507" width="3.28515625" style="1" customWidth="1"/>
    <col min="10508" max="10732" width="9.140625" style="1"/>
    <col min="10733" max="10733" width="6" style="1" customWidth="1"/>
    <col min="10734" max="10734" width="1.42578125" style="1" customWidth="1"/>
    <col min="10735" max="10735" width="3.85546875" style="1" customWidth="1"/>
    <col min="10736" max="10736" width="9.85546875" style="1" customWidth="1"/>
    <col min="10737" max="10737" width="7.28515625" style="1" customWidth="1"/>
    <col min="10738" max="10738" width="17.28515625" style="1" customWidth="1"/>
    <col min="10739" max="10739" width="2.7109375" style="1" customWidth="1"/>
    <col min="10740" max="10740" width="2.85546875" style="1" customWidth="1"/>
    <col min="10741" max="10742" width="2.28515625" style="1" customWidth="1"/>
    <col min="10743" max="10743" width="4.140625" style="1" customWidth="1"/>
    <col min="10744" max="10744" width="4" style="1" customWidth="1"/>
    <col min="10745" max="10745" width="12.7109375" style="1" customWidth="1"/>
    <col min="10746" max="10746" width="6.28515625" style="1" customWidth="1"/>
    <col min="10747" max="10747" width="5.42578125" style="1" customWidth="1"/>
    <col min="10748" max="10748" width="2.28515625" style="1" customWidth="1"/>
    <col min="10749" max="10749" width="7.7109375" style="1" customWidth="1"/>
    <col min="10750" max="10750" width="5.28515625" style="1" customWidth="1"/>
    <col min="10751" max="10763" width="3.28515625" style="1" customWidth="1"/>
    <col min="10764" max="10988" width="9.140625" style="1"/>
    <col min="10989" max="10989" width="6" style="1" customWidth="1"/>
    <col min="10990" max="10990" width="1.42578125" style="1" customWidth="1"/>
    <col min="10991" max="10991" width="3.85546875" style="1" customWidth="1"/>
    <col min="10992" max="10992" width="9.85546875" style="1" customWidth="1"/>
    <col min="10993" max="10993" width="7.28515625" style="1" customWidth="1"/>
    <col min="10994" max="10994" width="17.28515625" style="1" customWidth="1"/>
    <col min="10995" max="10995" width="2.7109375" style="1" customWidth="1"/>
    <col min="10996" max="10996" width="2.85546875" style="1" customWidth="1"/>
    <col min="10997" max="10998" width="2.28515625" style="1" customWidth="1"/>
    <col min="10999" max="10999" width="4.140625" style="1" customWidth="1"/>
    <col min="11000" max="11000" width="4" style="1" customWidth="1"/>
    <col min="11001" max="11001" width="12.7109375" style="1" customWidth="1"/>
    <col min="11002" max="11002" width="6.28515625" style="1" customWidth="1"/>
    <col min="11003" max="11003" width="5.42578125" style="1" customWidth="1"/>
    <col min="11004" max="11004" width="2.28515625" style="1" customWidth="1"/>
    <col min="11005" max="11005" width="7.7109375" style="1" customWidth="1"/>
    <col min="11006" max="11006" width="5.28515625" style="1" customWidth="1"/>
    <col min="11007" max="11019" width="3.28515625" style="1" customWidth="1"/>
    <col min="11020" max="11244" width="9.140625" style="1"/>
    <col min="11245" max="11245" width="6" style="1" customWidth="1"/>
    <col min="11246" max="11246" width="1.42578125" style="1" customWidth="1"/>
    <col min="11247" max="11247" width="3.85546875" style="1" customWidth="1"/>
    <col min="11248" max="11248" width="9.85546875" style="1" customWidth="1"/>
    <col min="11249" max="11249" width="7.28515625" style="1" customWidth="1"/>
    <col min="11250" max="11250" width="17.28515625" style="1" customWidth="1"/>
    <col min="11251" max="11251" width="2.7109375" style="1" customWidth="1"/>
    <col min="11252" max="11252" width="2.85546875" style="1" customWidth="1"/>
    <col min="11253" max="11254" width="2.28515625" style="1" customWidth="1"/>
    <col min="11255" max="11255" width="4.140625" style="1" customWidth="1"/>
    <col min="11256" max="11256" width="4" style="1" customWidth="1"/>
    <col min="11257" max="11257" width="12.7109375" style="1" customWidth="1"/>
    <col min="11258" max="11258" width="6.28515625" style="1" customWidth="1"/>
    <col min="11259" max="11259" width="5.42578125" style="1" customWidth="1"/>
    <col min="11260" max="11260" width="2.28515625" style="1" customWidth="1"/>
    <col min="11261" max="11261" width="7.7109375" style="1" customWidth="1"/>
    <col min="11262" max="11262" width="5.28515625" style="1" customWidth="1"/>
    <col min="11263" max="11275" width="3.28515625" style="1" customWidth="1"/>
    <col min="11276" max="11500" width="9.140625" style="1"/>
    <col min="11501" max="11501" width="6" style="1" customWidth="1"/>
    <col min="11502" max="11502" width="1.42578125" style="1" customWidth="1"/>
    <col min="11503" max="11503" width="3.85546875" style="1" customWidth="1"/>
    <col min="11504" max="11504" width="9.85546875" style="1" customWidth="1"/>
    <col min="11505" max="11505" width="7.28515625" style="1" customWidth="1"/>
    <col min="11506" max="11506" width="17.28515625" style="1" customWidth="1"/>
    <col min="11507" max="11507" width="2.7109375" style="1" customWidth="1"/>
    <col min="11508" max="11508" width="2.85546875" style="1" customWidth="1"/>
    <col min="11509" max="11510" width="2.28515625" style="1" customWidth="1"/>
    <col min="11511" max="11511" width="4.140625" style="1" customWidth="1"/>
    <col min="11512" max="11512" width="4" style="1" customWidth="1"/>
    <col min="11513" max="11513" width="12.7109375" style="1" customWidth="1"/>
    <col min="11514" max="11514" width="6.28515625" style="1" customWidth="1"/>
    <col min="11515" max="11515" width="5.42578125" style="1" customWidth="1"/>
    <col min="11516" max="11516" width="2.28515625" style="1" customWidth="1"/>
    <col min="11517" max="11517" width="7.7109375" style="1" customWidth="1"/>
    <col min="11518" max="11518" width="5.28515625" style="1" customWidth="1"/>
    <col min="11519" max="11531" width="3.28515625" style="1" customWidth="1"/>
    <col min="11532" max="11756" width="9.140625" style="1"/>
    <col min="11757" max="11757" width="6" style="1" customWidth="1"/>
    <col min="11758" max="11758" width="1.42578125" style="1" customWidth="1"/>
    <col min="11759" max="11759" width="3.85546875" style="1" customWidth="1"/>
    <col min="11760" max="11760" width="9.85546875" style="1" customWidth="1"/>
    <col min="11761" max="11761" width="7.28515625" style="1" customWidth="1"/>
    <col min="11762" max="11762" width="17.28515625" style="1" customWidth="1"/>
    <col min="11763" max="11763" width="2.7109375" style="1" customWidth="1"/>
    <col min="11764" max="11764" width="2.85546875" style="1" customWidth="1"/>
    <col min="11765" max="11766" width="2.28515625" style="1" customWidth="1"/>
    <col min="11767" max="11767" width="4.140625" style="1" customWidth="1"/>
    <col min="11768" max="11768" width="4" style="1" customWidth="1"/>
    <col min="11769" max="11769" width="12.7109375" style="1" customWidth="1"/>
    <col min="11770" max="11770" width="6.28515625" style="1" customWidth="1"/>
    <col min="11771" max="11771" width="5.42578125" style="1" customWidth="1"/>
    <col min="11772" max="11772" width="2.28515625" style="1" customWidth="1"/>
    <col min="11773" max="11773" width="7.7109375" style="1" customWidth="1"/>
    <col min="11774" max="11774" width="5.28515625" style="1" customWidth="1"/>
    <col min="11775" max="11787" width="3.28515625" style="1" customWidth="1"/>
    <col min="11788" max="12012" width="9.140625" style="1"/>
    <col min="12013" max="12013" width="6" style="1" customWidth="1"/>
    <col min="12014" max="12014" width="1.42578125" style="1" customWidth="1"/>
    <col min="12015" max="12015" width="3.85546875" style="1" customWidth="1"/>
    <col min="12016" max="12016" width="9.85546875" style="1" customWidth="1"/>
    <col min="12017" max="12017" width="7.28515625" style="1" customWidth="1"/>
    <col min="12018" max="12018" width="17.28515625" style="1" customWidth="1"/>
    <col min="12019" max="12019" width="2.7109375" style="1" customWidth="1"/>
    <col min="12020" max="12020" width="2.85546875" style="1" customWidth="1"/>
    <col min="12021" max="12022" width="2.28515625" style="1" customWidth="1"/>
    <col min="12023" max="12023" width="4.140625" style="1" customWidth="1"/>
    <col min="12024" max="12024" width="4" style="1" customWidth="1"/>
    <col min="12025" max="12025" width="12.7109375" style="1" customWidth="1"/>
    <col min="12026" max="12026" width="6.28515625" style="1" customWidth="1"/>
    <col min="12027" max="12027" width="5.42578125" style="1" customWidth="1"/>
    <col min="12028" max="12028" width="2.28515625" style="1" customWidth="1"/>
    <col min="12029" max="12029" width="7.7109375" style="1" customWidth="1"/>
    <col min="12030" max="12030" width="5.28515625" style="1" customWidth="1"/>
    <col min="12031" max="12043" width="3.28515625" style="1" customWidth="1"/>
    <col min="12044" max="12268" width="9.140625" style="1"/>
    <col min="12269" max="12269" width="6" style="1" customWidth="1"/>
    <col min="12270" max="12270" width="1.42578125" style="1" customWidth="1"/>
    <col min="12271" max="12271" width="3.85546875" style="1" customWidth="1"/>
    <col min="12272" max="12272" width="9.85546875" style="1" customWidth="1"/>
    <col min="12273" max="12273" width="7.28515625" style="1" customWidth="1"/>
    <col min="12274" max="12274" width="17.28515625" style="1" customWidth="1"/>
    <col min="12275" max="12275" width="2.7109375" style="1" customWidth="1"/>
    <col min="12276" max="12276" width="2.85546875" style="1" customWidth="1"/>
    <col min="12277" max="12278" width="2.28515625" style="1" customWidth="1"/>
    <col min="12279" max="12279" width="4.140625" style="1" customWidth="1"/>
    <col min="12280" max="12280" width="4" style="1" customWidth="1"/>
    <col min="12281" max="12281" width="12.7109375" style="1" customWidth="1"/>
    <col min="12282" max="12282" width="6.28515625" style="1" customWidth="1"/>
    <col min="12283" max="12283" width="5.42578125" style="1" customWidth="1"/>
    <col min="12284" max="12284" width="2.28515625" style="1" customWidth="1"/>
    <col min="12285" max="12285" width="7.7109375" style="1" customWidth="1"/>
    <col min="12286" max="12286" width="5.28515625" style="1" customWidth="1"/>
    <col min="12287" max="12299" width="3.28515625" style="1" customWidth="1"/>
    <col min="12300" max="12524" width="9.140625" style="1"/>
    <col min="12525" max="12525" width="6" style="1" customWidth="1"/>
    <col min="12526" max="12526" width="1.42578125" style="1" customWidth="1"/>
    <col min="12527" max="12527" width="3.85546875" style="1" customWidth="1"/>
    <col min="12528" max="12528" width="9.85546875" style="1" customWidth="1"/>
    <col min="12529" max="12529" width="7.28515625" style="1" customWidth="1"/>
    <col min="12530" max="12530" width="17.28515625" style="1" customWidth="1"/>
    <col min="12531" max="12531" width="2.7109375" style="1" customWidth="1"/>
    <col min="12532" max="12532" width="2.85546875" style="1" customWidth="1"/>
    <col min="12533" max="12534" width="2.28515625" style="1" customWidth="1"/>
    <col min="12535" max="12535" width="4.140625" style="1" customWidth="1"/>
    <col min="12536" max="12536" width="4" style="1" customWidth="1"/>
    <col min="12537" max="12537" width="12.7109375" style="1" customWidth="1"/>
    <col min="12538" max="12538" width="6.28515625" style="1" customWidth="1"/>
    <col min="12539" max="12539" width="5.42578125" style="1" customWidth="1"/>
    <col min="12540" max="12540" width="2.28515625" style="1" customWidth="1"/>
    <col min="12541" max="12541" width="7.7109375" style="1" customWidth="1"/>
    <col min="12542" max="12542" width="5.28515625" style="1" customWidth="1"/>
    <col min="12543" max="12555" width="3.28515625" style="1" customWidth="1"/>
    <col min="12556" max="12780" width="9.140625" style="1"/>
    <col min="12781" max="12781" width="6" style="1" customWidth="1"/>
    <col min="12782" max="12782" width="1.42578125" style="1" customWidth="1"/>
    <col min="12783" max="12783" width="3.85546875" style="1" customWidth="1"/>
    <col min="12784" max="12784" width="9.85546875" style="1" customWidth="1"/>
    <col min="12785" max="12785" width="7.28515625" style="1" customWidth="1"/>
    <col min="12786" max="12786" width="17.28515625" style="1" customWidth="1"/>
    <col min="12787" max="12787" width="2.7109375" style="1" customWidth="1"/>
    <col min="12788" max="12788" width="2.85546875" style="1" customWidth="1"/>
    <col min="12789" max="12790" width="2.28515625" style="1" customWidth="1"/>
    <col min="12791" max="12791" width="4.140625" style="1" customWidth="1"/>
    <col min="12792" max="12792" width="4" style="1" customWidth="1"/>
    <col min="12793" max="12793" width="12.7109375" style="1" customWidth="1"/>
    <col min="12794" max="12794" width="6.28515625" style="1" customWidth="1"/>
    <col min="12795" max="12795" width="5.42578125" style="1" customWidth="1"/>
    <col min="12796" max="12796" width="2.28515625" style="1" customWidth="1"/>
    <col min="12797" max="12797" width="7.7109375" style="1" customWidth="1"/>
    <col min="12798" max="12798" width="5.28515625" style="1" customWidth="1"/>
    <col min="12799" max="12811" width="3.28515625" style="1" customWidth="1"/>
    <col min="12812" max="13036" width="9.140625" style="1"/>
    <col min="13037" max="13037" width="6" style="1" customWidth="1"/>
    <col min="13038" max="13038" width="1.42578125" style="1" customWidth="1"/>
    <col min="13039" max="13039" width="3.85546875" style="1" customWidth="1"/>
    <col min="13040" max="13040" width="9.85546875" style="1" customWidth="1"/>
    <col min="13041" max="13041" width="7.28515625" style="1" customWidth="1"/>
    <col min="13042" max="13042" width="17.28515625" style="1" customWidth="1"/>
    <col min="13043" max="13043" width="2.7109375" style="1" customWidth="1"/>
    <col min="13044" max="13044" width="2.85546875" style="1" customWidth="1"/>
    <col min="13045" max="13046" width="2.28515625" style="1" customWidth="1"/>
    <col min="13047" max="13047" width="4.140625" style="1" customWidth="1"/>
    <col min="13048" max="13048" width="4" style="1" customWidth="1"/>
    <col min="13049" max="13049" width="12.7109375" style="1" customWidth="1"/>
    <col min="13050" max="13050" width="6.28515625" style="1" customWidth="1"/>
    <col min="13051" max="13051" width="5.42578125" style="1" customWidth="1"/>
    <col min="13052" max="13052" width="2.28515625" style="1" customWidth="1"/>
    <col min="13053" max="13053" width="7.7109375" style="1" customWidth="1"/>
    <col min="13054" max="13054" width="5.28515625" style="1" customWidth="1"/>
    <col min="13055" max="13067" width="3.28515625" style="1" customWidth="1"/>
    <col min="13068" max="13292" width="9.140625" style="1"/>
    <col min="13293" max="13293" width="6" style="1" customWidth="1"/>
    <col min="13294" max="13294" width="1.42578125" style="1" customWidth="1"/>
    <col min="13295" max="13295" width="3.85546875" style="1" customWidth="1"/>
    <col min="13296" max="13296" width="9.85546875" style="1" customWidth="1"/>
    <col min="13297" max="13297" width="7.28515625" style="1" customWidth="1"/>
    <col min="13298" max="13298" width="17.28515625" style="1" customWidth="1"/>
    <col min="13299" max="13299" width="2.7109375" style="1" customWidth="1"/>
    <col min="13300" max="13300" width="2.85546875" style="1" customWidth="1"/>
    <col min="13301" max="13302" width="2.28515625" style="1" customWidth="1"/>
    <col min="13303" max="13303" width="4.140625" style="1" customWidth="1"/>
    <col min="13304" max="13304" width="4" style="1" customWidth="1"/>
    <col min="13305" max="13305" width="12.7109375" style="1" customWidth="1"/>
    <col min="13306" max="13306" width="6.28515625" style="1" customWidth="1"/>
    <col min="13307" max="13307" width="5.42578125" style="1" customWidth="1"/>
    <col min="13308" max="13308" width="2.28515625" style="1" customWidth="1"/>
    <col min="13309" max="13309" width="7.7109375" style="1" customWidth="1"/>
    <col min="13310" max="13310" width="5.28515625" style="1" customWidth="1"/>
    <col min="13311" max="13323" width="3.28515625" style="1" customWidth="1"/>
    <col min="13324" max="13548" width="9.140625" style="1"/>
    <col min="13549" max="13549" width="6" style="1" customWidth="1"/>
    <col min="13550" max="13550" width="1.42578125" style="1" customWidth="1"/>
    <col min="13551" max="13551" width="3.85546875" style="1" customWidth="1"/>
    <col min="13552" max="13552" width="9.85546875" style="1" customWidth="1"/>
    <col min="13553" max="13553" width="7.28515625" style="1" customWidth="1"/>
    <col min="13554" max="13554" width="17.28515625" style="1" customWidth="1"/>
    <col min="13555" max="13555" width="2.7109375" style="1" customWidth="1"/>
    <col min="13556" max="13556" width="2.85546875" style="1" customWidth="1"/>
    <col min="13557" max="13558" width="2.28515625" style="1" customWidth="1"/>
    <col min="13559" max="13559" width="4.140625" style="1" customWidth="1"/>
    <col min="13560" max="13560" width="4" style="1" customWidth="1"/>
    <col min="13561" max="13561" width="12.7109375" style="1" customWidth="1"/>
    <col min="13562" max="13562" width="6.28515625" style="1" customWidth="1"/>
    <col min="13563" max="13563" width="5.42578125" style="1" customWidth="1"/>
    <col min="13564" max="13564" width="2.28515625" style="1" customWidth="1"/>
    <col min="13565" max="13565" width="7.7109375" style="1" customWidth="1"/>
    <col min="13566" max="13566" width="5.28515625" style="1" customWidth="1"/>
    <col min="13567" max="13579" width="3.28515625" style="1" customWidth="1"/>
    <col min="13580" max="13804" width="9.140625" style="1"/>
    <col min="13805" max="13805" width="6" style="1" customWidth="1"/>
    <col min="13806" max="13806" width="1.42578125" style="1" customWidth="1"/>
    <col min="13807" max="13807" width="3.85546875" style="1" customWidth="1"/>
    <col min="13808" max="13808" width="9.85546875" style="1" customWidth="1"/>
    <col min="13809" max="13809" width="7.28515625" style="1" customWidth="1"/>
    <col min="13810" max="13810" width="17.28515625" style="1" customWidth="1"/>
    <col min="13811" max="13811" width="2.7109375" style="1" customWidth="1"/>
    <col min="13812" max="13812" width="2.85546875" style="1" customWidth="1"/>
    <col min="13813" max="13814" width="2.28515625" style="1" customWidth="1"/>
    <col min="13815" max="13815" width="4.140625" style="1" customWidth="1"/>
    <col min="13816" max="13816" width="4" style="1" customWidth="1"/>
    <col min="13817" max="13817" width="12.7109375" style="1" customWidth="1"/>
    <col min="13818" max="13818" width="6.28515625" style="1" customWidth="1"/>
    <col min="13819" max="13819" width="5.42578125" style="1" customWidth="1"/>
    <col min="13820" max="13820" width="2.28515625" style="1" customWidth="1"/>
    <col min="13821" max="13821" width="7.7109375" style="1" customWidth="1"/>
    <col min="13822" max="13822" width="5.28515625" style="1" customWidth="1"/>
    <col min="13823" max="13835" width="3.28515625" style="1" customWidth="1"/>
    <col min="13836" max="14060" width="9.140625" style="1"/>
    <col min="14061" max="14061" width="6" style="1" customWidth="1"/>
    <col min="14062" max="14062" width="1.42578125" style="1" customWidth="1"/>
    <col min="14063" max="14063" width="3.85546875" style="1" customWidth="1"/>
    <col min="14064" max="14064" width="9.85546875" style="1" customWidth="1"/>
    <col min="14065" max="14065" width="7.28515625" style="1" customWidth="1"/>
    <col min="14066" max="14066" width="17.28515625" style="1" customWidth="1"/>
    <col min="14067" max="14067" width="2.7109375" style="1" customWidth="1"/>
    <col min="14068" max="14068" width="2.85546875" style="1" customWidth="1"/>
    <col min="14069" max="14070" width="2.28515625" style="1" customWidth="1"/>
    <col min="14071" max="14071" width="4.140625" style="1" customWidth="1"/>
    <col min="14072" max="14072" width="4" style="1" customWidth="1"/>
    <col min="14073" max="14073" width="12.7109375" style="1" customWidth="1"/>
    <col min="14074" max="14074" width="6.28515625" style="1" customWidth="1"/>
    <col min="14075" max="14075" width="5.42578125" style="1" customWidth="1"/>
    <col min="14076" max="14076" width="2.28515625" style="1" customWidth="1"/>
    <col min="14077" max="14077" width="7.7109375" style="1" customWidth="1"/>
    <col min="14078" max="14078" width="5.28515625" style="1" customWidth="1"/>
    <col min="14079" max="14091" width="3.28515625" style="1" customWidth="1"/>
    <col min="14092" max="14316" width="9.140625" style="1"/>
    <col min="14317" max="14317" width="6" style="1" customWidth="1"/>
    <col min="14318" max="14318" width="1.42578125" style="1" customWidth="1"/>
    <col min="14319" max="14319" width="3.85546875" style="1" customWidth="1"/>
    <col min="14320" max="14320" width="9.85546875" style="1" customWidth="1"/>
    <col min="14321" max="14321" width="7.28515625" style="1" customWidth="1"/>
    <col min="14322" max="14322" width="17.28515625" style="1" customWidth="1"/>
    <col min="14323" max="14323" width="2.7109375" style="1" customWidth="1"/>
    <col min="14324" max="14324" width="2.85546875" style="1" customWidth="1"/>
    <col min="14325" max="14326" width="2.28515625" style="1" customWidth="1"/>
    <col min="14327" max="14327" width="4.140625" style="1" customWidth="1"/>
    <col min="14328" max="14328" width="4" style="1" customWidth="1"/>
    <col min="14329" max="14329" width="12.7109375" style="1" customWidth="1"/>
    <col min="14330" max="14330" width="6.28515625" style="1" customWidth="1"/>
    <col min="14331" max="14331" width="5.42578125" style="1" customWidth="1"/>
    <col min="14332" max="14332" width="2.28515625" style="1" customWidth="1"/>
    <col min="14333" max="14333" width="7.7109375" style="1" customWidth="1"/>
    <col min="14334" max="14334" width="5.28515625" style="1" customWidth="1"/>
    <col min="14335" max="14347" width="3.28515625" style="1" customWidth="1"/>
    <col min="14348" max="14572" width="9.140625" style="1"/>
    <col min="14573" max="14573" width="6" style="1" customWidth="1"/>
    <col min="14574" max="14574" width="1.42578125" style="1" customWidth="1"/>
    <col min="14575" max="14575" width="3.85546875" style="1" customWidth="1"/>
    <col min="14576" max="14576" width="9.85546875" style="1" customWidth="1"/>
    <col min="14577" max="14577" width="7.28515625" style="1" customWidth="1"/>
    <col min="14578" max="14578" width="17.28515625" style="1" customWidth="1"/>
    <col min="14579" max="14579" width="2.7109375" style="1" customWidth="1"/>
    <col min="14580" max="14580" width="2.85546875" style="1" customWidth="1"/>
    <col min="14581" max="14582" width="2.28515625" style="1" customWidth="1"/>
    <col min="14583" max="14583" width="4.140625" style="1" customWidth="1"/>
    <col min="14584" max="14584" width="4" style="1" customWidth="1"/>
    <col min="14585" max="14585" width="12.7109375" style="1" customWidth="1"/>
    <col min="14586" max="14586" width="6.28515625" style="1" customWidth="1"/>
    <col min="14587" max="14587" width="5.42578125" style="1" customWidth="1"/>
    <col min="14588" max="14588" width="2.28515625" style="1" customWidth="1"/>
    <col min="14589" max="14589" width="7.7109375" style="1" customWidth="1"/>
    <col min="14590" max="14590" width="5.28515625" style="1" customWidth="1"/>
    <col min="14591" max="14603" width="3.28515625" style="1" customWidth="1"/>
    <col min="14604" max="14828" width="9.140625" style="1"/>
    <col min="14829" max="14829" width="6" style="1" customWidth="1"/>
    <col min="14830" max="14830" width="1.42578125" style="1" customWidth="1"/>
    <col min="14831" max="14831" width="3.85546875" style="1" customWidth="1"/>
    <col min="14832" max="14832" width="9.85546875" style="1" customWidth="1"/>
    <col min="14833" max="14833" width="7.28515625" style="1" customWidth="1"/>
    <col min="14834" max="14834" width="17.28515625" style="1" customWidth="1"/>
    <col min="14835" max="14835" width="2.7109375" style="1" customWidth="1"/>
    <col min="14836" max="14836" width="2.85546875" style="1" customWidth="1"/>
    <col min="14837" max="14838" width="2.28515625" style="1" customWidth="1"/>
    <col min="14839" max="14839" width="4.140625" style="1" customWidth="1"/>
    <col min="14840" max="14840" width="4" style="1" customWidth="1"/>
    <col min="14841" max="14841" width="12.7109375" style="1" customWidth="1"/>
    <col min="14842" max="14842" width="6.28515625" style="1" customWidth="1"/>
    <col min="14843" max="14843" width="5.42578125" style="1" customWidth="1"/>
    <col min="14844" max="14844" width="2.28515625" style="1" customWidth="1"/>
    <col min="14845" max="14845" width="7.7109375" style="1" customWidth="1"/>
    <col min="14846" max="14846" width="5.28515625" style="1" customWidth="1"/>
    <col min="14847" max="14859" width="3.28515625" style="1" customWidth="1"/>
    <col min="14860" max="15084" width="9.140625" style="1"/>
    <col min="15085" max="15085" width="6" style="1" customWidth="1"/>
    <col min="15086" max="15086" width="1.42578125" style="1" customWidth="1"/>
    <col min="15087" max="15087" width="3.85546875" style="1" customWidth="1"/>
    <col min="15088" max="15088" width="9.85546875" style="1" customWidth="1"/>
    <col min="15089" max="15089" width="7.28515625" style="1" customWidth="1"/>
    <col min="15090" max="15090" width="17.28515625" style="1" customWidth="1"/>
    <col min="15091" max="15091" width="2.7109375" style="1" customWidth="1"/>
    <col min="15092" max="15092" width="2.85546875" style="1" customWidth="1"/>
    <col min="15093" max="15094" width="2.28515625" style="1" customWidth="1"/>
    <col min="15095" max="15095" width="4.140625" style="1" customWidth="1"/>
    <col min="15096" max="15096" width="4" style="1" customWidth="1"/>
    <col min="15097" max="15097" width="12.7109375" style="1" customWidth="1"/>
    <col min="15098" max="15098" width="6.28515625" style="1" customWidth="1"/>
    <col min="15099" max="15099" width="5.42578125" style="1" customWidth="1"/>
    <col min="15100" max="15100" width="2.28515625" style="1" customWidth="1"/>
    <col min="15101" max="15101" width="7.7109375" style="1" customWidth="1"/>
    <col min="15102" max="15102" width="5.28515625" style="1" customWidth="1"/>
    <col min="15103" max="15115" width="3.28515625" style="1" customWidth="1"/>
    <col min="15116" max="15340" width="9.140625" style="1"/>
    <col min="15341" max="15341" width="6" style="1" customWidth="1"/>
    <col min="15342" max="15342" width="1.42578125" style="1" customWidth="1"/>
    <col min="15343" max="15343" width="3.85546875" style="1" customWidth="1"/>
    <col min="15344" max="15344" width="9.85546875" style="1" customWidth="1"/>
    <col min="15345" max="15345" width="7.28515625" style="1" customWidth="1"/>
    <col min="15346" max="15346" width="17.28515625" style="1" customWidth="1"/>
    <col min="15347" max="15347" width="2.7109375" style="1" customWidth="1"/>
    <col min="15348" max="15348" width="2.85546875" style="1" customWidth="1"/>
    <col min="15349" max="15350" width="2.28515625" style="1" customWidth="1"/>
    <col min="15351" max="15351" width="4.140625" style="1" customWidth="1"/>
    <col min="15352" max="15352" width="4" style="1" customWidth="1"/>
    <col min="15353" max="15353" width="12.7109375" style="1" customWidth="1"/>
    <col min="15354" max="15354" width="6.28515625" style="1" customWidth="1"/>
    <col min="15355" max="15355" width="5.42578125" style="1" customWidth="1"/>
    <col min="15356" max="15356" width="2.28515625" style="1" customWidth="1"/>
    <col min="15357" max="15357" width="7.7109375" style="1" customWidth="1"/>
    <col min="15358" max="15358" width="5.28515625" style="1" customWidth="1"/>
    <col min="15359" max="15371" width="3.28515625" style="1" customWidth="1"/>
    <col min="15372" max="15596" width="9.140625" style="1"/>
    <col min="15597" max="15597" width="6" style="1" customWidth="1"/>
    <col min="15598" max="15598" width="1.42578125" style="1" customWidth="1"/>
    <col min="15599" max="15599" width="3.85546875" style="1" customWidth="1"/>
    <col min="15600" max="15600" width="9.85546875" style="1" customWidth="1"/>
    <col min="15601" max="15601" width="7.28515625" style="1" customWidth="1"/>
    <col min="15602" max="15602" width="17.28515625" style="1" customWidth="1"/>
    <col min="15603" max="15603" width="2.7109375" style="1" customWidth="1"/>
    <col min="15604" max="15604" width="2.85546875" style="1" customWidth="1"/>
    <col min="15605" max="15606" width="2.28515625" style="1" customWidth="1"/>
    <col min="15607" max="15607" width="4.140625" style="1" customWidth="1"/>
    <col min="15608" max="15608" width="4" style="1" customWidth="1"/>
    <col min="15609" max="15609" width="12.7109375" style="1" customWidth="1"/>
    <col min="15610" max="15610" width="6.28515625" style="1" customWidth="1"/>
    <col min="15611" max="15611" width="5.42578125" style="1" customWidth="1"/>
    <col min="15612" max="15612" width="2.28515625" style="1" customWidth="1"/>
    <col min="15613" max="15613" width="7.7109375" style="1" customWidth="1"/>
    <col min="15614" max="15614" width="5.28515625" style="1" customWidth="1"/>
    <col min="15615" max="15627" width="3.28515625" style="1" customWidth="1"/>
    <col min="15628" max="15852" width="9.140625" style="1"/>
    <col min="15853" max="15853" width="6" style="1" customWidth="1"/>
    <col min="15854" max="15854" width="1.42578125" style="1" customWidth="1"/>
    <col min="15855" max="15855" width="3.85546875" style="1" customWidth="1"/>
    <col min="15856" max="15856" width="9.85546875" style="1" customWidth="1"/>
    <col min="15857" max="15857" width="7.28515625" style="1" customWidth="1"/>
    <col min="15858" max="15858" width="17.28515625" style="1" customWidth="1"/>
    <col min="15859" max="15859" width="2.7109375" style="1" customWidth="1"/>
    <col min="15860" max="15860" width="2.85546875" style="1" customWidth="1"/>
    <col min="15861" max="15862" width="2.28515625" style="1" customWidth="1"/>
    <col min="15863" max="15863" width="4.140625" style="1" customWidth="1"/>
    <col min="15864" max="15864" width="4" style="1" customWidth="1"/>
    <col min="15865" max="15865" width="12.7109375" style="1" customWidth="1"/>
    <col min="15866" max="15866" width="6.28515625" style="1" customWidth="1"/>
    <col min="15867" max="15867" width="5.42578125" style="1" customWidth="1"/>
    <col min="15868" max="15868" width="2.28515625" style="1" customWidth="1"/>
    <col min="15869" max="15869" width="7.7109375" style="1" customWidth="1"/>
    <col min="15870" max="15870" width="5.28515625" style="1" customWidth="1"/>
    <col min="15871" max="15883" width="3.28515625" style="1" customWidth="1"/>
    <col min="15884" max="16108" width="9.140625" style="1"/>
    <col min="16109" max="16109" width="6" style="1" customWidth="1"/>
    <col min="16110" max="16110" width="1.42578125" style="1" customWidth="1"/>
    <col min="16111" max="16111" width="3.85546875" style="1" customWidth="1"/>
    <col min="16112" max="16112" width="9.85546875" style="1" customWidth="1"/>
    <col min="16113" max="16113" width="7.28515625" style="1" customWidth="1"/>
    <col min="16114" max="16114" width="17.28515625" style="1" customWidth="1"/>
    <col min="16115" max="16115" width="2.7109375" style="1" customWidth="1"/>
    <col min="16116" max="16116" width="2.85546875" style="1" customWidth="1"/>
    <col min="16117" max="16118" width="2.28515625" style="1" customWidth="1"/>
    <col min="16119" max="16119" width="4.140625" style="1" customWidth="1"/>
    <col min="16120" max="16120" width="4" style="1" customWidth="1"/>
    <col min="16121" max="16121" width="12.7109375" style="1" customWidth="1"/>
    <col min="16122" max="16122" width="6.28515625" style="1" customWidth="1"/>
    <col min="16123" max="16123" width="5.42578125" style="1" customWidth="1"/>
    <col min="16124" max="16124" width="2.28515625" style="1" customWidth="1"/>
    <col min="16125" max="16125" width="7.7109375" style="1" customWidth="1"/>
    <col min="16126" max="16126" width="5.28515625" style="1" customWidth="1"/>
    <col min="16127" max="16139" width="3.28515625" style="1" customWidth="1"/>
    <col min="16140" max="16378" width="9.140625" style="1"/>
    <col min="16379" max="16384" width="9.140625" style="1" customWidth="1"/>
  </cols>
  <sheetData>
    <row r="1" spans="1:17" ht="24" customHeight="1">
      <c r="A1" s="208" t="s">
        <v>4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10"/>
    </row>
    <row r="2" spans="1:17" ht="19.5" customHeight="1">
      <c r="A2" s="2" t="s">
        <v>5</v>
      </c>
      <c r="B2" s="211" t="s">
        <v>6</v>
      </c>
      <c r="C2" s="211"/>
      <c r="D2" s="211"/>
      <c r="E2" s="211"/>
      <c r="F2" s="211"/>
      <c r="G2" s="211" t="s">
        <v>7</v>
      </c>
      <c r="H2" s="211"/>
      <c r="I2" s="211" t="s">
        <v>8</v>
      </c>
      <c r="J2" s="211"/>
      <c r="K2" s="211"/>
      <c r="L2" s="211"/>
      <c r="M2" s="3" t="s">
        <v>9</v>
      </c>
      <c r="N2" s="211" t="s">
        <v>10</v>
      </c>
      <c r="O2" s="211"/>
      <c r="P2" s="211" t="s">
        <v>3</v>
      </c>
      <c r="Q2" s="212"/>
    </row>
    <row r="3" spans="1:17" ht="19.5" customHeight="1">
      <c r="A3" s="5"/>
      <c r="B3" s="224"/>
      <c r="C3" s="224"/>
      <c r="D3" s="224"/>
      <c r="E3" s="224"/>
      <c r="F3" s="224"/>
      <c r="G3" s="216"/>
      <c r="H3" s="217"/>
      <c r="I3" s="216"/>
      <c r="J3" s="218"/>
      <c r="K3" s="218"/>
      <c r="L3" s="217"/>
      <c r="M3" s="7"/>
      <c r="N3" s="216"/>
      <c r="O3" s="217"/>
      <c r="P3" s="219"/>
      <c r="Q3" s="220"/>
    </row>
    <row r="4" spans="1:17" ht="19.5" customHeight="1">
      <c r="A4" s="5"/>
      <c r="B4" s="224"/>
      <c r="C4" s="224"/>
      <c r="D4" s="224"/>
      <c r="E4" s="224"/>
      <c r="F4" s="224"/>
      <c r="G4" s="216"/>
      <c r="H4" s="217"/>
      <c r="I4" s="216"/>
      <c r="J4" s="218"/>
      <c r="K4" s="218"/>
      <c r="L4" s="217"/>
      <c r="M4" s="7"/>
      <c r="N4" s="216"/>
      <c r="O4" s="217"/>
      <c r="P4" s="219"/>
      <c r="Q4" s="220"/>
    </row>
    <row r="5" spans="1:17" ht="19.5" customHeight="1">
      <c r="A5" s="5">
        <v>5</v>
      </c>
      <c r="B5" s="213" t="s">
        <v>1305</v>
      </c>
      <c r="C5" s="214"/>
      <c r="D5" s="214"/>
      <c r="E5" s="214"/>
      <c r="F5" s="215"/>
      <c r="G5" s="216" t="s">
        <v>28</v>
      </c>
      <c r="H5" s="217"/>
      <c r="I5" s="216" t="s">
        <v>467</v>
      </c>
      <c r="J5" s="218"/>
      <c r="K5" s="218"/>
      <c r="L5" s="217"/>
      <c r="M5" s="7" t="s">
        <v>32</v>
      </c>
      <c r="N5" s="216" t="s">
        <v>11</v>
      </c>
      <c r="O5" s="217"/>
      <c r="P5" s="219">
        <v>45946</v>
      </c>
      <c r="Q5" s="220"/>
    </row>
    <row r="6" spans="1:17" ht="19.5" customHeight="1">
      <c r="A6" s="5">
        <v>4</v>
      </c>
      <c r="B6" s="225" t="s">
        <v>1282</v>
      </c>
      <c r="C6" s="226"/>
      <c r="D6" s="226"/>
      <c r="E6" s="226"/>
      <c r="F6" s="227"/>
      <c r="G6" s="216" t="s">
        <v>28</v>
      </c>
      <c r="H6" s="217"/>
      <c r="I6" s="203" t="s">
        <v>467</v>
      </c>
      <c r="J6" s="204"/>
      <c r="K6" s="204"/>
      <c r="L6" s="205"/>
      <c r="M6" s="8" t="s">
        <v>32</v>
      </c>
      <c r="N6" s="203" t="s">
        <v>11</v>
      </c>
      <c r="O6" s="205"/>
      <c r="P6" s="206">
        <v>45814</v>
      </c>
      <c r="Q6" s="207"/>
    </row>
    <row r="7" spans="1:17" ht="19.5" customHeight="1">
      <c r="A7" s="5">
        <v>3</v>
      </c>
      <c r="B7" s="221" t="s">
        <v>1275</v>
      </c>
      <c r="C7" s="222"/>
      <c r="D7" s="222"/>
      <c r="E7" s="222"/>
      <c r="F7" s="223"/>
      <c r="G7" s="216" t="s">
        <v>28</v>
      </c>
      <c r="H7" s="217"/>
      <c r="I7" s="203" t="s">
        <v>467</v>
      </c>
      <c r="J7" s="204"/>
      <c r="K7" s="204"/>
      <c r="L7" s="205"/>
      <c r="M7" s="8" t="s">
        <v>32</v>
      </c>
      <c r="N7" s="203" t="s">
        <v>11</v>
      </c>
      <c r="O7" s="205"/>
      <c r="P7" s="206">
        <v>45798</v>
      </c>
      <c r="Q7" s="207"/>
    </row>
    <row r="8" spans="1:17" ht="19.5" customHeight="1">
      <c r="A8" s="5">
        <v>2</v>
      </c>
      <c r="B8" s="203" t="s">
        <v>1266</v>
      </c>
      <c r="C8" s="204"/>
      <c r="D8" s="204"/>
      <c r="E8" s="204"/>
      <c r="F8" s="205"/>
      <c r="G8" s="216" t="s">
        <v>28</v>
      </c>
      <c r="H8" s="217"/>
      <c r="I8" s="203" t="s">
        <v>467</v>
      </c>
      <c r="J8" s="204"/>
      <c r="K8" s="204"/>
      <c r="L8" s="205"/>
      <c r="M8" s="8" t="s">
        <v>32</v>
      </c>
      <c r="N8" s="203" t="s">
        <v>11</v>
      </c>
      <c r="O8" s="205"/>
      <c r="P8" s="206">
        <v>45763</v>
      </c>
      <c r="Q8" s="207"/>
    </row>
    <row r="9" spans="1:17" s="4" customFormat="1" ht="19.5" customHeight="1">
      <c r="A9" s="5">
        <v>1</v>
      </c>
      <c r="B9" s="203" t="s">
        <v>1207</v>
      </c>
      <c r="C9" s="204"/>
      <c r="D9" s="204"/>
      <c r="E9" s="204"/>
      <c r="F9" s="205"/>
      <c r="G9" s="216" t="s">
        <v>28</v>
      </c>
      <c r="H9" s="217"/>
      <c r="I9" s="203" t="s">
        <v>467</v>
      </c>
      <c r="J9" s="204"/>
      <c r="K9" s="204"/>
      <c r="L9" s="205"/>
      <c r="M9" s="8" t="s">
        <v>32</v>
      </c>
      <c r="N9" s="203" t="s">
        <v>11</v>
      </c>
      <c r="O9" s="205"/>
      <c r="P9" s="206">
        <v>45755</v>
      </c>
      <c r="Q9" s="207"/>
    </row>
    <row r="10" spans="1:17" ht="19.5" customHeight="1">
      <c r="A10" s="9">
        <v>0</v>
      </c>
      <c r="B10" s="203" t="s">
        <v>33</v>
      </c>
      <c r="C10" s="204"/>
      <c r="D10" s="204"/>
      <c r="E10" s="204"/>
      <c r="F10" s="205"/>
      <c r="G10" s="203" t="s">
        <v>28</v>
      </c>
      <c r="H10" s="205"/>
      <c r="I10" s="203" t="s">
        <v>467</v>
      </c>
      <c r="J10" s="204"/>
      <c r="K10" s="204"/>
      <c r="L10" s="205"/>
      <c r="M10" s="8" t="s">
        <v>32</v>
      </c>
      <c r="N10" s="203" t="s">
        <v>11</v>
      </c>
      <c r="O10" s="205"/>
      <c r="P10" s="206">
        <v>45677</v>
      </c>
      <c r="Q10" s="207"/>
    </row>
    <row r="11" spans="1:17" ht="24" customHeight="1">
      <c r="A11" s="191" t="s">
        <v>12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3"/>
    </row>
    <row r="12" spans="1:17" ht="24" customHeight="1">
      <c r="A12" s="200" t="s">
        <v>13</v>
      </c>
      <c r="B12" s="201"/>
      <c r="C12" s="201"/>
      <c r="D12" s="201"/>
      <c r="E12" s="201"/>
      <c r="F12" s="201" t="s">
        <v>14</v>
      </c>
      <c r="G12" s="201"/>
      <c r="H12" s="201"/>
      <c r="I12" s="201"/>
      <c r="J12" s="201"/>
      <c r="K12" s="201"/>
      <c r="L12" s="201" t="s">
        <v>15</v>
      </c>
      <c r="M12" s="201"/>
      <c r="N12" s="201"/>
      <c r="O12" s="201"/>
      <c r="P12" s="201"/>
      <c r="Q12" s="202"/>
    </row>
    <row r="13" spans="1:17" ht="24" customHeight="1">
      <c r="A13" s="197" t="s">
        <v>16</v>
      </c>
      <c r="B13" s="198"/>
      <c r="C13" s="198"/>
      <c r="D13" s="198"/>
      <c r="E13" s="198"/>
      <c r="F13" s="198" t="s">
        <v>17</v>
      </c>
      <c r="G13" s="198"/>
      <c r="H13" s="198"/>
      <c r="I13" s="198"/>
      <c r="J13" s="198"/>
      <c r="K13" s="198"/>
      <c r="L13" s="198" t="s">
        <v>18</v>
      </c>
      <c r="M13" s="198"/>
      <c r="N13" s="198"/>
      <c r="O13" s="198"/>
      <c r="P13" s="198"/>
      <c r="Q13" s="199"/>
    </row>
    <row r="14" spans="1:17" ht="24" customHeight="1">
      <c r="A14" s="194" t="s">
        <v>19</v>
      </c>
      <c r="B14" s="195"/>
      <c r="C14" s="195"/>
      <c r="D14" s="195"/>
      <c r="E14" s="195"/>
      <c r="F14" s="195" t="s">
        <v>20</v>
      </c>
      <c r="G14" s="195"/>
      <c r="H14" s="195"/>
      <c r="I14" s="195"/>
      <c r="J14" s="195"/>
      <c r="K14" s="195"/>
      <c r="L14" s="195" t="s">
        <v>21</v>
      </c>
      <c r="M14" s="195"/>
      <c r="N14" s="195"/>
      <c r="O14" s="195"/>
      <c r="P14" s="195"/>
      <c r="Q14" s="196"/>
    </row>
    <row r="15" spans="1:17" ht="24" customHeigh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2"/>
    </row>
    <row r="16" spans="1:17" ht="10.5" customHeight="1">
      <c r="A16" s="152"/>
      <c r="B16" s="153"/>
      <c r="C16" s="153"/>
      <c r="D16" s="153"/>
      <c r="E16" s="153"/>
      <c r="F16" s="153"/>
      <c r="G16" s="153"/>
      <c r="H16" s="153"/>
      <c r="I16" s="153"/>
      <c r="J16" s="154"/>
      <c r="K16" s="161"/>
      <c r="L16" s="162"/>
      <c r="M16" s="162"/>
      <c r="N16" s="162"/>
      <c r="O16" s="162"/>
      <c r="P16" s="162"/>
      <c r="Q16" s="163"/>
    </row>
    <row r="17" spans="1:17" ht="17.25" customHeight="1">
      <c r="A17" s="155"/>
      <c r="B17" s="156"/>
      <c r="C17" s="156"/>
      <c r="D17" s="156"/>
      <c r="E17" s="156"/>
      <c r="F17" s="156"/>
      <c r="G17" s="156"/>
      <c r="H17" s="156"/>
      <c r="I17" s="156"/>
      <c r="J17" s="157"/>
      <c r="K17" s="147" t="s">
        <v>259</v>
      </c>
      <c r="L17" s="145"/>
      <c r="M17" s="145"/>
      <c r="N17" s="145"/>
      <c r="O17" s="145"/>
      <c r="P17" s="145"/>
      <c r="Q17" s="151"/>
    </row>
    <row r="18" spans="1:17" ht="12.75" customHeight="1">
      <c r="A18" s="155"/>
      <c r="B18" s="156"/>
      <c r="C18" s="156"/>
      <c r="D18" s="156"/>
      <c r="E18" s="156"/>
      <c r="F18" s="156"/>
      <c r="G18" s="156"/>
      <c r="H18" s="156"/>
      <c r="I18" s="156"/>
      <c r="J18" s="157"/>
      <c r="K18" s="164"/>
      <c r="L18" s="165"/>
      <c r="M18" s="165"/>
      <c r="N18" s="165"/>
      <c r="O18" s="165"/>
      <c r="P18" s="165"/>
      <c r="Q18" s="166"/>
    </row>
    <row r="19" spans="1:17" ht="27" customHeight="1">
      <c r="A19" s="155"/>
      <c r="B19" s="156"/>
      <c r="C19" s="156"/>
      <c r="D19" s="156"/>
      <c r="E19" s="156"/>
      <c r="F19" s="156"/>
      <c r="G19" s="156"/>
      <c r="H19" s="156"/>
      <c r="I19" s="156"/>
      <c r="J19" s="157"/>
      <c r="K19" s="167" t="s">
        <v>468</v>
      </c>
      <c r="L19" s="168"/>
      <c r="M19" s="168"/>
      <c r="N19" s="168"/>
      <c r="O19" s="168"/>
      <c r="P19" s="168"/>
      <c r="Q19" s="169"/>
    </row>
    <row r="20" spans="1:17" ht="12" customHeight="1">
      <c r="A20" s="155"/>
      <c r="B20" s="156"/>
      <c r="C20" s="156"/>
      <c r="D20" s="156"/>
      <c r="E20" s="156"/>
      <c r="F20" s="156"/>
      <c r="G20" s="156"/>
      <c r="H20" s="156"/>
      <c r="I20" s="156"/>
      <c r="J20" s="157"/>
      <c r="K20" s="167"/>
      <c r="L20" s="168"/>
      <c r="M20" s="168"/>
      <c r="N20" s="168"/>
      <c r="O20" s="168"/>
      <c r="P20" s="168"/>
      <c r="Q20" s="169"/>
    </row>
    <row r="21" spans="1:17" ht="18" customHeight="1">
      <c r="A21" s="155"/>
      <c r="B21" s="156"/>
      <c r="C21" s="156"/>
      <c r="D21" s="156"/>
      <c r="E21" s="156"/>
      <c r="F21" s="156"/>
      <c r="G21" s="156"/>
      <c r="H21" s="156"/>
      <c r="I21" s="156"/>
      <c r="J21" s="157"/>
      <c r="K21" s="170"/>
      <c r="L21" s="171"/>
      <c r="M21" s="171"/>
      <c r="N21" s="171"/>
      <c r="O21" s="171"/>
      <c r="P21" s="171"/>
      <c r="Q21" s="172"/>
    </row>
    <row r="22" spans="1:17" ht="9.75" customHeight="1">
      <c r="A22" s="155"/>
      <c r="B22" s="156"/>
      <c r="C22" s="156"/>
      <c r="D22" s="156"/>
      <c r="E22" s="156"/>
      <c r="F22" s="156"/>
      <c r="G22" s="156"/>
      <c r="H22" s="156"/>
      <c r="I22" s="156"/>
      <c r="J22" s="157"/>
      <c r="K22" s="161"/>
      <c r="L22" s="162"/>
      <c r="M22" s="162"/>
      <c r="N22" s="162"/>
      <c r="O22" s="162"/>
      <c r="P22" s="173"/>
      <c r="Q22" s="10"/>
    </row>
    <row r="23" spans="1:17" ht="18" customHeight="1">
      <c r="A23" s="155"/>
      <c r="B23" s="156"/>
      <c r="C23" s="156"/>
      <c r="D23" s="156"/>
      <c r="E23" s="156"/>
      <c r="F23" s="156"/>
      <c r="G23" s="156"/>
      <c r="H23" s="156"/>
      <c r="I23" s="156"/>
      <c r="J23" s="157"/>
      <c r="K23" s="147" t="s">
        <v>260</v>
      </c>
      <c r="L23" s="145"/>
      <c r="M23" s="145"/>
      <c r="N23" s="145"/>
      <c r="O23" s="145"/>
      <c r="P23" s="146"/>
      <c r="Q23" s="11" t="s">
        <v>0</v>
      </c>
    </row>
    <row r="24" spans="1:17" ht="18" customHeight="1">
      <c r="A24" s="155"/>
      <c r="B24" s="156"/>
      <c r="C24" s="156"/>
      <c r="D24" s="156"/>
      <c r="E24" s="156"/>
      <c r="F24" s="156"/>
      <c r="G24" s="156"/>
      <c r="H24" s="156"/>
      <c r="I24" s="156"/>
      <c r="J24" s="157"/>
      <c r="K24" s="174">
        <f>LARGE(P3:Q10,1)</f>
        <v>45946</v>
      </c>
      <c r="L24" s="175"/>
      <c r="M24" s="175"/>
      <c r="N24" s="175"/>
      <c r="O24" s="175"/>
      <c r="P24" s="176"/>
      <c r="Q24" s="13">
        <f>LARGE(A3:A10,1)</f>
        <v>5</v>
      </c>
    </row>
    <row r="25" spans="1:17" ht="12" customHeight="1">
      <c r="A25" s="158"/>
      <c r="B25" s="159"/>
      <c r="C25" s="159"/>
      <c r="D25" s="159"/>
      <c r="E25" s="159"/>
      <c r="F25" s="159"/>
      <c r="G25" s="159"/>
      <c r="H25" s="159"/>
      <c r="I25" s="159"/>
      <c r="J25" s="160"/>
      <c r="K25" s="177"/>
      <c r="L25" s="178"/>
      <c r="M25" s="178"/>
      <c r="N25" s="178"/>
      <c r="O25" s="178"/>
      <c r="P25" s="179"/>
      <c r="Q25" s="12"/>
    </row>
    <row r="26" spans="1:17" ht="24" customHeigh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2"/>
    </row>
    <row r="27" spans="1:17" ht="111" customHeight="1">
      <c r="A27" s="183"/>
      <c r="B27" s="184"/>
      <c r="C27" s="184"/>
      <c r="D27" s="184"/>
      <c r="E27" s="184"/>
      <c r="F27" s="184"/>
      <c r="G27" s="185" t="s">
        <v>469</v>
      </c>
      <c r="H27" s="186"/>
      <c r="I27" s="186"/>
      <c r="J27" s="186"/>
      <c r="K27" s="186"/>
      <c r="L27" s="186"/>
      <c r="M27" s="186"/>
      <c r="N27" s="186"/>
      <c r="O27" s="186"/>
      <c r="P27" s="186"/>
      <c r="Q27" s="187"/>
    </row>
    <row r="28" spans="1:17" ht="27" customHeight="1">
      <c r="A28" s="188" t="s">
        <v>22</v>
      </c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90"/>
    </row>
    <row r="29" spans="1:17" ht="18" customHeight="1">
      <c r="A29" s="133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5"/>
    </row>
    <row r="30" spans="1:17" ht="18" customHeight="1">
      <c r="A30" s="133" t="s">
        <v>350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5"/>
    </row>
    <row r="31" spans="1:17" ht="18" customHeight="1">
      <c r="A31" s="133" t="s">
        <v>465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5"/>
    </row>
    <row r="32" spans="1:17" ht="18" customHeight="1">
      <c r="A32" s="133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5"/>
    </row>
    <row r="33" spans="1:17" ht="18" customHeight="1">
      <c r="A33" s="133" t="s">
        <v>34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5"/>
    </row>
    <row r="34" spans="1:17" ht="18" customHeight="1">
      <c r="A34" s="133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5"/>
    </row>
    <row r="35" spans="1:17" ht="18" customHeight="1">
      <c r="A35" s="133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5"/>
    </row>
    <row r="36" spans="1:17" ht="12.75" customHeight="1">
      <c r="A36" s="139"/>
      <c r="B36" s="140"/>
      <c r="C36" s="141"/>
      <c r="D36" s="142"/>
      <c r="E36" s="140"/>
      <c r="F36" s="140"/>
      <c r="G36" s="140"/>
      <c r="H36" s="140"/>
      <c r="I36" s="141"/>
      <c r="J36" s="142"/>
      <c r="K36" s="140"/>
      <c r="L36" s="140"/>
      <c r="M36" s="140"/>
      <c r="N36" s="141"/>
      <c r="O36" s="142"/>
      <c r="P36" s="140"/>
      <c r="Q36" s="143"/>
    </row>
    <row r="37" spans="1:17" ht="18" customHeight="1">
      <c r="A37" s="144" t="s">
        <v>23</v>
      </c>
      <c r="B37" s="145"/>
      <c r="C37" s="146"/>
      <c r="D37" s="147" t="s">
        <v>24</v>
      </c>
      <c r="E37" s="145"/>
      <c r="F37" s="145"/>
      <c r="G37" s="145"/>
      <c r="H37" s="145"/>
      <c r="I37" s="146"/>
      <c r="J37" s="147" t="s">
        <v>25</v>
      </c>
      <c r="K37" s="145"/>
      <c r="L37" s="145"/>
      <c r="M37" s="145"/>
      <c r="N37" s="146"/>
      <c r="O37" s="147" t="s">
        <v>2</v>
      </c>
      <c r="P37" s="145"/>
      <c r="Q37" s="151"/>
    </row>
    <row r="38" spans="1:17" ht="27" customHeight="1" thickBot="1">
      <c r="A38" s="148">
        <f>K24</f>
        <v>45946</v>
      </c>
      <c r="B38" s="149"/>
      <c r="C38" s="150"/>
      <c r="D38" s="136" t="s">
        <v>464</v>
      </c>
      <c r="E38" s="149"/>
      <c r="F38" s="149"/>
      <c r="G38" s="149"/>
      <c r="H38" s="149"/>
      <c r="I38" s="150"/>
      <c r="J38" s="136" t="s">
        <v>466</v>
      </c>
      <c r="K38" s="149"/>
      <c r="L38" s="149"/>
      <c r="M38" s="149"/>
      <c r="N38" s="150"/>
      <c r="O38" s="136">
        <f>Q24</f>
        <v>5</v>
      </c>
      <c r="P38" s="137"/>
      <c r="Q38" s="138"/>
    </row>
    <row r="48" spans="1:17">
      <c r="A48" s="1"/>
    </row>
    <row r="49" spans="1:1">
      <c r="A49" s="1"/>
    </row>
  </sheetData>
  <sheetProtection selectLockedCells="1" selectUnlockedCells="1"/>
  <mergeCells count="89">
    <mergeCell ref="B3:F3"/>
    <mergeCell ref="G3:H3"/>
    <mergeCell ref="I3:L3"/>
    <mergeCell ref="N3:O3"/>
    <mergeCell ref="P3:Q3"/>
    <mergeCell ref="I8:L8"/>
    <mergeCell ref="N8:O8"/>
    <mergeCell ref="P8:Q8"/>
    <mergeCell ref="B9:F9"/>
    <mergeCell ref="G9:H9"/>
    <mergeCell ref="I9:L9"/>
    <mergeCell ref="N9:O9"/>
    <mergeCell ref="P9:Q9"/>
    <mergeCell ref="B8:F8"/>
    <mergeCell ref="G8:H8"/>
    <mergeCell ref="B6:F6"/>
    <mergeCell ref="G6:H6"/>
    <mergeCell ref="I6:L6"/>
    <mergeCell ref="N6:O6"/>
    <mergeCell ref="P6:Q6"/>
    <mergeCell ref="B4:F4"/>
    <mergeCell ref="G4:H4"/>
    <mergeCell ref="I4:L4"/>
    <mergeCell ref="N4:O4"/>
    <mergeCell ref="P4:Q4"/>
    <mergeCell ref="B7:F7"/>
    <mergeCell ref="G7:H7"/>
    <mergeCell ref="I7:L7"/>
    <mergeCell ref="N7:O7"/>
    <mergeCell ref="P7:Q7"/>
    <mergeCell ref="B5:F5"/>
    <mergeCell ref="G5:H5"/>
    <mergeCell ref="I5:L5"/>
    <mergeCell ref="N5:O5"/>
    <mergeCell ref="P5:Q5"/>
    <mergeCell ref="A1:Q1"/>
    <mergeCell ref="B2:F2"/>
    <mergeCell ref="G2:H2"/>
    <mergeCell ref="I2:L2"/>
    <mergeCell ref="N2:O2"/>
    <mergeCell ref="P2:Q2"/>
    <mergeCell ref="B10:F10"/>
    <mergeCell ref="G10:H10"/>
    <mergeCell ref="I10:L10"/>
    <mergeCell ref="N10:O10"/>
    <mergeCell ref="P10:Q10"/>
    <mergeCell ref="A11:Q11"/>
    <mergeCell ref="A14:E14"/>
    <mergeCell ref="F14:K14"/>
    <mergeCell ref="L14:Q14"/>
    <mergeCell ref="A15:Q15"/>
    <mergeCell ref="A13:E13"/>
    <mergeCell ref="F13:K13"/>
    <mergeCell ref="L13:Q13"/>
    <mergeCell ref="A12:E12"/>
    <mergeCell ref="F12:K12"/>
    <mergeCell ref="L12:Q12"/>
    <mergeCell ref="A26:Q26"/>
    <mergeCell ref="A27:F27"/>
    <mergeCell ref="G27:Q27"/>
    <mergeCell ref="A28:Q28"/>
    <mergeCell ref="A29:Q29"/>
    <mergeCell ref="A16:J25"/>
    <mergeCell ref="K16:Q16"/>
    <mergeCell ref="K17:Q17"/>
    <mergeCell ref="K18:Q18"/>
    <mergeCell ref="K19:Q20"/>
    <mergeCell ref="K21:Q21"/>
    <mergeCell ref="K22:P22"/>
    <mergeCell ref="K23:P23"/>
    <mergeCell ref="K24:P24"/>
    <mergeCell ref="K25:P25"/>
    <mergeCell ref="O38:Q38"/>
    <mergeCell ref="A36:C36"/>
    <mergeCell ref="D36:I36"/>
    <mergeCell ref="J36:N36"/>
    <mergeCell ref="O36:Q36"/>
    <mergeCell ref="A37:C37"/>
    <mergeCell ref="D37:I37"/>
    <mergeCell ref="J37:N37"/>
    <mergeCell ref="A38:C38"/>
    <mergeCell ref="D38:I38"/>
    <mergeCell ref="J38:N38"/>
    <mergeCell ref="O37:Q37"/>
    <mergeCell ref="A31:Q32"/>
    <mergeCell ref="A34:Q34"/>
    <mergeCell ref="A35:Q35"/>
    <mergeCell ref="A30:Q30"/>
    <mergeCell ref="A33:Q33"/>
  </mergeCells>
  <printOptions horizontalCentered="1"/>
  <pageMargins left="0.19652777777777777" right="0.19652777777777777" top="0.39374999999999999" bottom="0.39374999999999999" header="0.51180555555555551" footer="0.51180555555555551"/>
  <pageSetup paperSize="9" scale="95" firstPageNumber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BD55-141D-42C4-9187-BE6CCD8CBDC6}">
  <sheetPr>
    <pageSetUpPr fitToPage="1"/>
  </sheetPr>
  <dimension ref="A1:S54"/>
  <sheetViews>
    <sheetView showGridLines="0" view="pageBreakPreview" zoomScale="70" zoomScaleNormal="55" zoomScaleSheetLayoutView="70" workbookViewId="0">
      <pane ySplit="5" topLeftCell="A6" activePane="bottomLeft" state="frozen"/>
      <selection activeCell="A11" sqref="A11:R11"/>
      <selection pane="bottomLeft" activeCell="A6" sqref="A6"/>
    </sheetView>
  </sheetViews>
  <sheetFormatPr defaultColWidth="9.140625" defaultRowHeight="12.75"/>
  <cols>
    <col min="1" max="1" width="12.85546875" customWidth="1"/>
    <col min="2" max="2" width="20.5703125" style="41" customWidth="1"/>
    <col min="3" max="3" width="24.7109375" customWidth="1"/>
    <col min="4" max="4" width="57.42578125" customWidth="1"/>
    <col min="5" max="5" width="43.28515625" customWidth="1"/>
    <col min="6" max="6" width="34.7109375" style="21" customWidth="1"/>
    <col min="7" max="7" width="20" customWidth="1"/>
    <col min="8" max="9" width="17.7109375" customWidth="1"/>
    <col min="10" max="10" width="26.28515625" customWidth="1"/>
    <col min="11" max="11" width="46.140625" customWidth="1"/>
    <col min="12" max="12" width="9.42578125" customWidth="1"/>
    <col min="13" max="14" width="27.85546875" customWidth="1"/>
    <col min="15" max="15" width="36" customWidth="1"/>
    <col min="16" max="16" width="27.85546875" customWidth="1"/>
    <col min="17" max="17" width="23.140625" customWidth="1"/>
    <col min="18" max="18" width="48.28515625" customWidth="1"/>
    <col min="19" max="19" width="15" customWidth="1"/>
    <col min="51" max="51" width="20.5703125" customWidth="1"/>
  </cols>
  <sheetData>
    <row r="1" spans="1:19" ht="30.75" customHeight="1" thickBot="1">
      <c r="A1" s="232"/>
      <c r="B1" s="233"/>
      <c r="C1" s="233"/>
      <c r="D1" s="233"/>
      <c r="E1" s="233"/>
      <c r="F1" s="233"/>
      <c r="G1" s="233"/>
      <c r="H1" s="238" t="s">
        <v>53</v>
      </c>
      <c r="I1" s="240" t="str">
        <f>CAPA!G27</f>
        <v>VOTORANTIM CIMENTOS 
FÁBRICA DE EDEALINA - GO</v>
      </c>
      <c r="J1" s="240"/>
      <c r="K1" s="240"/>
      <c r="L1" s="241"/>
      <c r="M1" s="238" t="s">
        <v>55</v>
      </c>
      <c r="N1" s="244" t="str">
        <f>CAPA!A31</f>
        <v>FÁBRICA DE EDEALINA - GO
PROJETO DETALHADO - MOAGEM DE CIMENTO Z2</v>
      </c>
      <c r="O1" s="245"/>
      <c r="P1" s="246"/>
      <c r="Q1" s="14" t="s">
        <v>58</v>
      </c>
      <c r="R1" s="249" t="s">
        <v>61</v>
      </c>
      <c r="S1" s="250"/>
    </row>
    <row r="2" spans="1:19" ht="30.75" customHeight="1" thickBot="1">
      <c r="A2" s="234"/>
      <c r="B2" s="235"/>
      <c r="C2" s="235"/>
      <c r="D2" s="235"/>
      <c r="E2" s="235"/>
      <c r="F2" s="235"/>
      <c r="G2" s="235"/>
      <c r="H2" s="239"/>
      <c r="I2" s="242"/>
      <c r="J2" s="242"/>
      <c r="K2" s="242"/>
      <c r="L2" s="243"/>
      <c r="M2" s="239"/>
      <c r="N2" s="247"/>
      <c r="O2" s="247"/>
      <c r="P2" s="248"/>
      <c r="Q2" s="15" t="s">
        <v>78</v>
      </c>
      <c r="R2" s="251" t="s">
        <v>26</v>
      </c>
      <c r="S2" s="252"/>
    </row>
    <row r="3" spans="1:19" ht="30.75" customHeight="1" thickBot="1">
      <c r="A3" s="234"/>
      <c r="B3" s="235"/>
      <c r="C3" s="235"/>
      <c r="D3" s="235"/>
      <c r="E3" s="235"/>
      <c r="F3" s="235"/>
      <c r="G3" s="235"/>
      <c r="H3" s="253" t="s">
        <v>54</v>
      </c>
      <c r="I3" s="255" t="s">
        <v>126</v>
      </c>
      <c r="J3" s="256"/>
      <c r="K3" s="256"/>
      <c r="L3" s="257"/>
      <c r="M3" s="16" t="s">
        <v>57</v>
      </c>
      <c r="N3" s="260" t="str">
        <f>CAPA!J38</f>
        <v>ED-I-Z2000-120</v>
      </c>
      <c r="O3" s="260"/>
      <c r="P3" s="261"/>
      <c r="Q3" s="17" t="s">
        <v>59</v>
      </c>
      <c r="R3" s="16" t="s">
        <v>2</v>
      </c>
      <c r="S3" s="18">
        <f>CAPA!Q24</f>
        <v>5</v>
      </c>
    </row>
    <row r="4" spans="1:19" ht="30.75" customHeight="1" thickBot="1">
      <c r="A4" s="236"/>
      <c r="B4" s="237"/>
      <c r="C4" s="237"/>
      <c r="D4" s="237"/>
      <c r="E4" s="237"/>
      <c r="F4" s="237"/>
      <c r="G4" s="237"/>
      <c r="H4" s="254"/>
      <c r="I4" s="258"/>
      <c r="J4" s="258"/>
      <c r="K4" s="258"/>
      <c r="L4" s="259"/>
      <c r="M4" s="27" t="s">
        <v>56</v>
      </c>
      <c r="N4" s="262" t="str">
        <f>CAPA!K19</f>
        <v>LI-A-20V093E-001</v>
      </c>
      <c r="O4" s="262"/>
      <c r="P4" s="263"/>
      <c r="Q4" s="26"/>
      <c r="R4" s="27" t="s">
        <v>60</v>
      </c>
      <c r="S4" s="25">
        <f>CAPA!K24</f>
        <v>45946</v>
      </c>
    </row>
    <row r="5" spans="1:19" ht="30.75" customHeight="1" thickBot="1">
      <c r="A5" s="47" t="s">
        <v>36</v>
      </c>
      <c r="B5" s="89" t="s">
        <v>130</v>
      </c>
      <c r="C5" s="24" t="s">
        <v>131</v>
      </c>
      <c r="D5" s="24" t="s">
        <v>35</v>
      </c>
      <c r="E5" s="24" t="s">
        <v>37</v>
      </c>
      <c r="F5" s="24" t="s">
        <v>38</v>
      </c>
      <c r="G5" s="24" t="s">
        <v>39</v>
      </c>
      <c r="H5" s="24" t="s">
        <v>112</v>
      </c>
      <c r="I5" s="24" t="s">
        <v>40</v>
      </c>
      <c r="J5" s="24" t="s">
        <v>41</v>
      </c>
      <c r="K5" s="24" t="s">
        <v>42</v>
      </c>
      <c r="L5" s="24" t="s">
        <v>43</v>
      </c>
      <c r="M5" s="24" t="s">
        <v>44</v>
      </c>
      <c r="N5" s="24" t="s">
        <v>381</v>
      </c>
      <c r="O5" s="24" t="s">
        <v>47</v>
      </c>
      <c r="P5" s="24" t="s">
        <v>45</v>
      </c>
      <c r="Q5" s="264" t="s">
        <v>46</v>
      </c>
      <c r="R5" s="265"/>
      <c r="S5" s="48" t="s">
        <v>0</v>
      </c>
    </row>
    <row r="6" spans="1:19" s="41" customFormat="1" ht="45" customHeight="1">
      <c r="A6" s="44">
        <v>1</v>
      </c>
      <c r="B6" s="31" t="s">
        <v>470</v>
      </c>
      <c r="C6" s="31" t="s">
        <v>356</v>
      </c>
      <c r="D6" s="31" t="s">
        <v>480</v>
      </c>
      <c r="E6" s="31" t="s">
        <v>84</v>
      </c>
      <c r="F6" s="32" t="s">
        <v>50</v>
      </c>
      <c r="G6" s="32" t="s">
        <v>48</v>
      </c>
      <c r="H6" s="42" t="s">
        <v>1</v>
      </c>
      <c r="I6" s="42" t="s">
        <v>1</v>
      </c>
      <c r="J6" s="34" t="s">
        <v>1115</v>
      </c>
      <c r="K6" s="34" t="s">
        <v>1116</v>
      </c>
      <c r="L6" s="43">
        <v>1</v>
      </c>
      <c r="M6" s="34" t="s">
        <v>52</v>
      </c>
      <c r="N6" s="32" t="s">
        <v>902</v>
      </c>
      <c r="O6" s="32" t="s">
        <v>1</v>
      </c>
      <c r="P6" s="32" t="s">
        <v>1</v>
      </c>
      <c r="Q6" s="266" t="s">
        <v>1</v>
      </c>
      <c r="R6" s="267"/>
      <c r="S6" s="45">
        <v>1</v>
      </c>
    </row>
    <row r="7" spans="1:19" s="41" customFormat="1" ht="45" customHeight="1">
      <c r="A7" s="44">
        <f>A6+1</f>
        <v>2</v>
      </c>
      <c r="B7" s="31" t="s">
        <v>471</v>
      </c>
      <c r="C7" s="31" t="s">
        <v>357</v>
      </c>
      <c r="D7" s="31" t="s">
        <v>481</v>
      </c>
      <c r="E7" s="31" t="s">
        <v>84</v>
      </c>
      <c r="F7" s="32" t="s">
        <v>50</v>
      </c>
      <c r="G7" s="32" t="s">
        <v>48</v>
      </c>
      <c r="H7" s="42" t="s">
        <v>1</v>
      </c>
      <c r="I7" s="42" t="s">
        <v>1</v>
      </c>
      <c r="J7" s="34" t="s">
        <v>1115</v>
      </c>
      <c r="K7" s="34" t="s">
        <v>1117</v>
      </c>
      <c r="L7" s="43">
        <v>1</v>
      </c>
      <c r="M7" s="34" t="s">
        <v>52</v>
      </c>
      <c r="N7" s="32" t="s">
        <v>902</v>
      </c>
      <c r="O7" s="32" t="s">
        <v>1</v>
      </c>
      <c r="P7" s="32" t="s">
        <v>1</v>
      </c>
      <c r="Q7" s="228" t="s">
        <v>1</v>
      </c>
      <c r="R7" s="229"/>
      <c r="S7" s="45">
        <v>1</v>
      </c>
    </row>
    <row r="8" spans="1:19" s="41" customFormat="1" ht="45" customHeight="1">
      <c r="A8" s="44">
        <f t="shared" ref="A8:A9" si="0">A7+1</f>
        <v>3</v>
      </c>
      <c r="B8" s="31" t="s">
        <v>472</v>
      </c>
      <c r="C8" s="31" t="s">
        <v>474</v>
      </c>
      <c r="D8" s="31" t="s">
        <v>482</v>
      </c>
      <c r="E8" s="31" t="s">
        <v>84</v>
      </c>
      <c r="F8" s="32" t="s">
        <v>50</v>
      </c>
      <c r="G8" s="32" t="s">
        <v>48</v>
      </c>
      <c r="H8" s="42" t="s">
        <v>1</v>
      </c>
      <c r="I8" s="42" t="s">
        <v>1</v>
      </c>
      <c r="J8" s="34" t="s">
        <v>1115</v>
      </c>
      <c r="K8" s="34" t="s">
        <v>1117</v>
      </c>
      <c r="L8" s="43">
        <v>1</v>
      </c>
      <c r="M8" s="34" t="s">
        <v>52</v>
      </c>
      <c r="N8" s="32" t="s">
        <v>902</v>
      </c>
      <c r="O8" s="32" t="s">
        <v>1</v>
      </c>
      <c r="P8" s="32" t="s">
        <v>1</v>
      </c>
      <c r="Q8" s="228" t="s">
        <v>1</v>
      </c>
      <c r="R8" s="229"/>
      <c r="S8" s="45">
        <v>1</v>
      </c>
    </row>
    <row r="9" spans="1:19" s="41" customFormat="1" ht="45" customHeight="1">
      <c r="A9" s="44">
        <f t="shared" si="0"/>
        <v>4</v>
      </c>
      <c r="B9" s="37" t="s">
        <v>473</v>
      </c>
      <c r="C9" s="37" t="s">
        <v>475</v>
      </c>
      <c r="D9" s="37" t="s">
        <v>483</v>
      </c>
      <c r="E9" s="37" t="s">
        <v>84</v>
      </c>
      <c r="F9" s="38" t="s">
        <v>50</v>
      </c>
      <c r="G9" s="38" t="s">
        <v>48</v>
      </c>
      <c r="H9" s="39" t="s">
        <v>1</v>
      </c>
      <c r="I9" s="39" t="s">
        <v>1</v>
      </c>
      <c r="J9" s="34" t="s">
        <v>1115</v>
      </c>
      <c r="K9" s="34" t="s">
        <v>1117</v>
      </c>
      <c r="L9" s="40">
        <v>1</v>
      </c>
      <c r="M9" s="58" t="s">
        <v>52</v>
      </c>
      <c r="N9" s="38" t="s">
        <v>902</v>
      </c>
      <c r="O9" s="32" t="s">
        <v>1</v>
      </c>
      <c r="P9" s="32" t="s">
        <v>1</v>
      </c>
      <c r="Q9" s="228" t="s">
        <v>1</v>
      </c>
      <c r="R9" s="229"/>
      <c r="S9" s="45">
        <v>1</v>
      </c>
    </row>
    <row r="10" spans="1:19" s="41" customFormat="1" ht="45" customHeight="1">
      <c r="A10" s="44">
        <f t="shared" ref="A10:A54" si="1">A9+1</f>
        <v>5</v>
      </c>
      <c r="B10" s="31" t="s">
        <v>491</v>
      </c>
      <c r="C10" s="31" t="s">
        <v>1</v>
      </c>
      <c r="D10" s="31" t="s">
        <v>492</v>
      </c>
      <c r="E10" s="31" t="s">
        <v>72</v>
      </c>
      <c r="F10" s="43" t="s">
        <v>49</v>
      </c>
      <c r="G10" s="32" t="s">
        <v>48</v>
      </c>
      <c r="H10" s="42" t="s">
        <v>1</v>
      </c>
      <c r="I10" s="42" t="s">
        <v>1</v>
      </c>
      <c r="J10" s="34" t="s">
        <v>418</v>
      </c>
      <c r="K10" s="34" t="s">
        <v>419</v>
      </c>
      <c r="L10" s="43">
        <v>1</v>
      </c>
      <c r="M10" s="34" t="s">
        <v>65</v>
      </c>
      <c r="N10" s="38" t="s">
        <v>902</v>
      </c>
      <c r="O10" s="32" t="s">
        <v>1</v>
      </c>
      <c r="P10" s="32" t="s">
        <v>888</v>
      </c>
      <c r="Q10" s="228" t="s">
        <v>1</v>
      </c>
      <c r="R10" s="229"/>
      <c r="S10" s="45">
        <v>1</v>
      </c>
    </row>
    <row r="11" spans="1:19" s="41" customFormat="1" ht="45" customHeight="1">
      <c r="A11" s="44">
        <f t="shared" si="1"/>
        <v>6</v>
      </c>
      <c r="B11" s="31" t="s">
        <v>493</v>
      </c>
      <c r="C11" s="31" t="s">
        <v>816</v>
      </c>
      <c r="D11" s="31" t="s">
        <v>492</v>
      </c>
      <c r="E11" s="31" t="s">
        <v>51</v>
      </c>
      <c r="F11" s="32" t="s">
        <v>68</v>
      </c>
      <c r="G11" s="32" t="s">
        <v>48</v>
      </c>
      <c r="H11" s="42" t="s">
        <v>1</v>
      </c>
      <c r="I11" s="42" t="s">
        <v>1</v>
      </c>
      <c r="J11" s="34" t="s">
        <v>1118</v>
      </c>
      <c r="K11" s="34" t="s">
        <v>1119</v>
      </c>
      <c r="L11" s="43">
        <v>1</v>
      </c>
      <c r="M11" s="34" t="s">
        <v>52</v>
      </c>
      <c r="N11" s="38" t="s">
        <v>902</v>
      </c>
      <c r="O11" s="32" t="s">
        <v>1</v>
      </c>
      <c r="P11" s="32" t="s">
        <v>1</v>
      </c>
      <c r="Q11" s="228" t="s">
        <v>1</v>
      </c>
      <c r="R11" s="229"/>
      <c r="S11" s="45">
        <v>1</v>
      </c>
    </row>
    <row r="12" spans="1:19" s="41" customFormat="1" ht="45" customHeight="1">
      <c r="A12" s="44">
        <f t="shared" si="1"/>
        <v>7</v>
      </c>
      <c r="B12" s="31" t="s">
        <v>484</v>
      </c>
      <c r="C12" s="31" t="s">
        <v>1</v>
      </c>
      <c r="D12" s="31" t="s">
        <v>488</v>
      </c>
      <c r="E12" s="31" t="s">
        <v>72</v>
      </c>
      <c r="F12" s="43" t="s">
        <v>49</v>
      </c>
      <c r="G12" s="32" t="s">
        <v>48</v>
      </c>
      <c r="H12" s="42" t="s">
        <v>1</v>
      </c>
      <c r="I12" s="42" t="s">
        <v>1</v>
      </c>
      <c r="J12" s="34" t="s">
        <v>418</v>
      </c>
      <c r="K12" s="34" t="s">
        <v>419</v>
      </c>
      <c r="L12" s="43">
        <v>1</v>
      </c>
      <c r="M12" s="34" t="s">
        <v>65</v>
      </c>
      <c r="N12" s="38" t="s">
        <v>902</v>
      </c>
      <c r="O12" s="32" t="s">
        <v>1</v>
      </c>
      <c r="P12" s="32" t="s">
        <v>888</v>
      </c>
      <c r="Q12" s="228" t="s">
        <v>1</v>
      </c>
      <c r="R12" s="229"/>
      <c r="S12" s="45">
        <v>1</v>
      </c>
    </row>
    <row r="13" spans="1:19" s="41" customFormat="1" ht="45" customHeight="1">
      <c r="A13" s="44">
        <f t="shared" si="1"/>
        <v>8</v>
      </c>
      <c r="B13" s="31" t="s">
        <v>487</v>
      </c>
      <c r="C13" s="31" t="s">
        <v>136</v>
      </c>
      <c r="D13" s="31" t="s">
        <v>488</v>
      </c>
      <c r="E13" s="31" t="s">
        <v>51</v>
      </c>
      <c r="F13" s="32" t="s">
        <v>68</v>
      </c>
      <c r="G13" s="32" t="s">
        <v>48</v>
      </c>
      <c r="H13" s="42" t="s">
        <v>1</v>
      </c>
      <c r="I13" s="42" t="s">
        <v>1</v>
      </c>
      <c r="J13" s="34" t="s">
        <v>1118</v>
      </c>
      <c r="K13" s="34" t="s">
        <v>1119</v>
      </c>
      <c r="L13" s="43">
        <v>1</v>
      </c>
      <c r="M13" s="34" t="s">
        <v>52</v>
      </c>
      <c r="N13" s="38" t="s">
        <v>902</v>
      </c>
      <c r="O13" s="32" t="s">
        <v>1</v>
      </c>
      <c r="P13" s="32" t="s">
        <v>1</v>
      </c>
      <c r="Q13" s="228" t="s">
        <v>1</v>
      </c>
      <c r="R13" s="229"/>
      <c r="S13" s="45">
        <v>1</v>
      </c>
    </row>
    <row r="14" spans="1:19" s="41" customFormat="1" ht="45" customHeight="1">
      <c r="A14" s="44">
        <f t="shared" si="1"/>
        <v>9</v>
      </c>
      <c r="B14" s="31" t="s">
        <v>486</v>
      </c>
      <c r="C14" s="31" t="s">
        <v>1</v>
      </c>
      <c r="D14" s="31" t="s">
        <v>494</v>
      </c>
      <c r="E14" s="31" t="s">
        <v>72</v>
      </c>
      <c r="F14" s="43" t="s">
        <v>49</v>
      </c>
      <c r="G14" s="32" t="s">
        <v>48</v>
      </c>
      <c r="H14" s="42" t="s">
        <v>1</v>
      </c>
      <c r="I14" s="42" t="s">
        <v>1</v>
      </c>
      <c r="J14" s="34" t="s">
        <v>418</v>
      </c>
      <c r="K14" s="34" t="s">
        <v>419</v>
      </c>
      <c r="L14" s="43">
        <v>1</v>
      </c>
      <c r="M14" s="34" t="s">
        <v>65</v>
      </c>
      <c r="N14" s="38" t="s">
        <v>902</v>
      </c>
      <c r="O14" s="32" t="s">
        <v>1</v>
      </c>
      <c r="P14" s="32" t="s">
        <v>888</v>
      </c>
      <c r="Q14" s="228" t="s">
        <v>1</v>
      </c>
      <c r="R14" s="229"/>
      <c r="S14" s="45">
        <v>1</v>
      </c>
    </row>
    <row r="15" spans="1:19" s="41" customFormat="1" ht="45" customHeight="1">
      <c r="A15" s="44">
        <f t="shared" si="1"/>
        <v>10</v>
      </c>
      <c r="B15" s="31" t="s">
        <v>485</v>
      </c>
      <c r="C15" s="31" t="s">
        <v>135</v>
      </c>
      <c r="D15" s="31" t="s">
        <v>494</v>
      </c>
      <c r="E15" s="31" t="s">
        <v>51</v>
      </c>
      <c r="F15" s="32" t="s">
        <v>68</v>
      </c>
      <c r="G15" s="32" t="s">
        <v>48</v>
      </c>
      <c r="H15" s="42" t="s">
        <v>1</v>
      </c>
      <c r="I15" s="42" t="s">
        <v>1</v>
      </c>
      <c r="J15" s="34" t="s">
        <v>1118</v>
      </c>
      <c r="K15" s="34" t="s">
        <v>1119</v>
      </c>
      <c r="L15" s="43">
        <v>1</v>
      </c>
      <c r="M15" s="34" t="s">
        <v>52</v>
      </c>
      <c r="N15" s="38" t="s">
        <v>902</v>
      </c>
      <c r="O15" s="32" t="s">
        <v>1</v>
      </c>
      <c r="P15" s="32" t="s">
        <v>1</v>
      </c>
      <c r="Q15" s="228" t="s">
        <v>1</v>
      </c>
      <c r="R15" s="229"/>
      <c r="S15" s="45">
        <v>1</v>
      </c>
    </row>
    <row r="16" spans="1:19" s="41" customFormat="1" ht="45" customHeight="1">
      <c r="A16" s="44">
        <f t="shared" si="1"/>
        <v>11</v>
      </c>
      <c r="B16" s="31" t="s">
        <v>489</v>
      </c>
      <c r="C16" s="31" t="s">
        <v>1</v>
      </c>
      <c r="D16" s="31" t="s">
        <v>495</v>
      </c>
      <c r="E16" s="31" t="s">
        <v>72</v>
      </c>
      <c r="F16" s="43" t="s">
        <v>49</v>
      </c>
      <c r="G16" s="32" t="s">
        <v>48</v>
      </c>
      <c r="H16" s="42" t="s">
        <v>1</v>
      </c>
      <c r="I16" s="42" t="s">
        <v>1</v>
      </c>
      <c r="J16" s="34" t="s">
        <v>418</v>
      </c>
      <c r="K16" s="34" t="s">
        <v>419</v>
      </c>
      <c r="L16" s="43">
        <v>1</v>
      </c>
      <c r="M16" s="34" t="s">
        <v>65</v>
      </c>
      <c r="N16" s="32" t="s">
        <v>902</v>
      </c>
      <c r="O16" s="32" t="s">
        <v>1</v>
      </c>
      <c r="P16" s="32" t="s">
        <v>888</v>
      </c>
      <c r="Q16" s="228" t="s">
        <v>1</v>
      </c>
      <c r="R16" s="229"/>
      <c r="S16" s="45">
        <v>1</v>
      </c>
    </row>
    <row r="17" spans="1:19" s="41" customFormat="1" ht="45" customHeight="1">
      <c r="A17" s="44">
        <f t="shared" si="1"/>
        <v>12</v>
      </c>
      <c r="B17" s="31" t="s">
        <v>490</v>
      </c>
      <c r="C17" s="31" t="s">
        <v>137</v>
      </c>
      <c r="D17" s="31" t="s">
        <v>495</v>
      </c>
      <c r="E17" s="31" t="s">
        <v>51</v>
      </c>
      <c r="F17" s="32" t="s">
        <v>68</v>
      </c>
      <c r="G17" s="32" t="s">
        <v>48</v>
      </c>
      <c r="H17" s="42" t="s">
        <v>1</v>
      </c>
      <c r="I17" s="42" t="s">
        <v>1</v>
      </c>
      <c r="J17" s="34" t="s">
        <v>1118</v>
      </c>
      <c r="K17" s="34" t="s">
        <v>1119</v>
      </c>
      <c r="L17" s="43">
        <v>1</v>
      </c>
      <c r="M17" s="34" t="s">
        <v>52</v>
      </c>
      <c r="N17" s="38" t="s">
        <v>902</v>
      </c>
      <c r="O17" s="32" t="s">
        <v>1</v>
      </c>
      <c r="P17" s="32" t="s">
        <v>1</v>
      </c>
      <c r="Q17" s="228" t="s">
        <v>1</v>
      </c>
      <c r="R17" s="229"/>
      <c r="S17" s="45">
        <v>1</v>
      </c>
    </row>
    <row r="18" spans="1:19" s="41" customFormat="1" ht="45" customHeight="1">
      <c r="A18" s="44">
        <f t="shared" si="1"/>
        <v>13</v>
      </c>
      <c r="B18" s="31" t="s">
        <v>496</v>
      </c>
      <c r="C18" s="31" t="s">
        <v>959</v>
      </c>
      <c r="D18" s="31" t="s">
        <v>498</v>
      </c>
      <c r="E18" s="31" t="s">
        <v>125</v>
      </c>
      <c r="F18" s="32" t="s">
        <v>132</v>
      </c>
      <c r="G18" s="32" t="s">
        <v>48</v>
      </c>
      <c r="H18" s="42" t="s">
        <v>1</v>
      </c>
      <c r="I18" s="42" t="s">
        <v>1</v>
      </c>
      <c r="J18" s="34" t="s">
        <v>1079</v>
      </c>
      <c r="K18" s="34" t="s">
        <v>1120</v>
      </c>
      <c r="L18" s="43">
        <v>2</v>
      </c>
      <c r="M18" s="34" t="s">
        <v>52</v>
      </c>
      <c r="N18" s="38" t="s">
        <v>902</v>
      </c>
      <c r="O18" s="32" t="s">
        <v>1</v>
      </c>
      <c r="P18" s="32" t="s">
        <v>1</v>
      </c>
      <c r="Q18" s="228" t="s">
        <v>1161</v>
      </c>
      <c r="R18" s="229"/>
      <c r="S18" s="45">
        <v>1</v>
      </c>
    </row>
    <row r="19" spans="1:19" s="41" customFormat="1" ht="45" customHeight="1">
      <c r="A19" s="44">
        <f t="shared" si="1"/>
        <v>14</v>
      </c>
      <c r="B19" s="31" t="s">
        <v>497</v>
      </c>
      <c r="C19" s="31" t="s">
        <v>960</v>
      </c>
      <c r="D19" s="31" t="s">
        <v>498</v>
      </c>
      <c r="E19" s="31" t="s">
        <v>273</v>
      </c>
      <c r="F19" s="32" t="s">
        <v>132</v>
      </c>
      <c r="G19" s="32" t="s">
        <v>48</v>
      </c>
      <c r="H19" s="42" t="s">
        <v>1</v>
      </c>
      <c r="I19" s="42" t="s">
        <v>1</v>
      </c>
      <c r="J19" s="34" t="s">
        <v>1079</v>
      </c>
      <c r="K19" s="34" t="s">
        <v>1120</v>
      </c>
      <c r="L19" s="43">
        <v>2</v>
      </c>
      <c r="M19" s="34" t="s">
        <v>52</v>
      </c>
      <c r="N19" s="38" t="s">
        <v>902</v>
      </c>
      <c r="O19" s="32" t="s">
        <v>1</v>
      </c>
      <c r="P19" s="32" t="s">
        <v>1</v>
      </c>
      <c r="Q19" s="228" t="s">
        <v>1162</v>
      </c>
      <c r="R19" s="229"/>
      <c r="S19" s="45">
        <v>1</v>
      </c>
    </row>
    <row r="20" spans="1:19" s="41" customFormat="1" ht="45" customHeight="1">
      <c r="A20" s="44">
        <f t="shared" si="1"/>
        <v>15</v>
      </c>
      <c r="B20" s="31" t="s">
        <v>499</v>
      </c>
      <c r="C20" s="31" t="s">
        <v>1</v>
      </c>
      <c r="D20" s="31" t="s">
        <v>498</v>
      </c>
      <c r="E20" s="31" t="s">
        <v>73</v>
      </c>
      <c r="F20" s="32" t="s">
        <v>29</v>
      </c>
      <c r="G20" s="32" t="s">
        <v>48</v>
      </c>
      <c r="H20" s="42" t="s">
        <v>1</v>
      </c>
      <c r="I20" s="42" t="s">
        <v>1</v>
      </c>
      <c r="J20" s="34" t="s">
        <v>421</v>
      </c>
      <c r="K20" s="34" t="s">
        <v>420</v>
      </c>
      <c r="L20" s="43">
        <v>1</v>
      </c>
      <c r="M20" s="34" t="s">
        <v>65</v>
      </c>
      <c r="N20" s="38" t="s">
        <v>902</v>
      </c>
      <c r="O20" s="32" t="s">
        <v>1</v>
      </c>
      <c r="P20" s="32" t="s">
        <v>889</v>
      </c>
      <c r="Q20" s="228" t="s">
        <v>1</v>
      </c>
      <c r="R20" s="229"/>
      <c r="S20" s="45">
        <v>1</v>
      </c>
    </row>
    <row r="21" spans="1:19" s="41" customFormat="1" ht="45" customHeight="1">
      <c r="A21" s="44">
        <f t="shared" si="1"/>
        <v>16</v>
      </c>
      <c r="B21" s="31" t="s">
        <v>500</v>
      </c>
      <c r="C21" s="31" t="s">
        <v>138</v>
      </c>
      <c r="D21" s="31" t="s">
        <v>498</v>
      </c>
      <c r="E21" s="31" t="s">
        <v>275</v>
      </c>
      <c r="F21" s="32" t="s">
        <v>49</v>
      </c>
      <c r="G21" s="32" t="s">
        <v>48</v>
      </c>
      <c r="H21" s="42" t="s">
        <v>1</v>
      </c>
      <c r="I21" s="42" t="s">
        <v>1</v>
      </c>
      <c r="J21" s="34" t="s">
        <v>1079</v>
      </c>
      <c r="K21" s="34" t="s">
        <v>1053</v>
      </c>
      <c r="L21" s="43">
        <v>1</v>
      </c>
      <c r="M21" s="34" t="s">
        <v>52</v>
      </c>
      <c r="N21" s="38" t="s">
        <v>902</v>
      </c>
      <c r="O21" s="32" t="s">
        <v>1</v>
      </c>
      <c r="P21" s="32" t="s">
        <v>1</v>
      </c>
      <c r="Q21" s="228" t="s">
        <v>1</v>
      </c>
      <c r="R21" s="229"/>
      <c r="S21" s="45">
        <v>1</v>
      </c>
    </row>
    <row r="22" spans="1:19" s="41" customFormat="1" ht="45" customHeight="1">
      <c r="A22" s="44">
        <f t="shared" si="1"/>
        <v>17</v>
      </c>
      <c r="B22" s="31" t="s">
        <v>911</v>
      </c>
      <c r="C22" s="31" t="s">
        <v>912</v>
      </c>
      <c r="D22" s="31" t="s">
        <v>498</v>
      </c>
      <c r="E22" s="31" t="s">
        <v>276</v>
      </c>
      <c r="F22" s="32" t="s">
        <v>49</v>
      </c>
      <c r="G22" s="32" t="s">
        <v>48</v>
      </c>
      <c r="H22" s="42" t="s">
        <v>1</v>
      </c>
      <c r="I22" s="42" t="s">
        <v>1</v>
      </c>
      <c r="J22" s="34" t="s">
        <v>1079</v>
      </c>
      <c r="K22" s="34" t="s">
        <v>1053</v>
      </c>
      <c r="L22" s="43">
        <v>1</v>
      </c>
      <c r="M22" s="34" t="s">
        <v>52</v>
      </c>
      <c r="N22" s="38" t="s">
        <v>902</v>
      </c>
      <c r="O22" s="32" t="s">
        <v>1</v>
      </c>
      <c r="P22" s="32" t="s">
        <v>1</v>
      </c>
      <c r="Q22" s="228" t="s">
        <v>1</v>
      </c>
      <c r="R22" s="229"/>
      <c r="S22" s="45">
        <v>1</v>
      </c>
    </row>
    <row r="23" spans="1:19" s="41" customFormat="1" ht="45" customHeight="1">
      <c r="A23" s="44">
        <f t="shared" si="1"/>
        <v>18</v>
      </c>
      <c r="B23" s="31" t="s">
        <v>913</v>
      </c>
      <c r="C23" s="31" t="s">
        <v>1</v>
      </c>
      <c r="D23" s="31" t="s">
        <v>498</v>
      </c>
      <c r="E23" s="31" t="s">
        <v>919</v>
      </c>
      <c r="F23" s="32" t="s">
        <v>1</v>
      </c>
      <c r="G23" s="32" t="s">
        <v>1</v>
      </c>
      <c r="H23" s="42" t="s">
        <v>1</v>
      </c>
      <c r="I23" s="42" t="s">
        <v>1</v>
      </c>
      <c r="J23" s="34" t="s">
        <v>1</v>
      </c>
      <c r="K23" s="34" t="s">
        <v>404</v>
      </c>
      <c r="L23" s="43">
        <v>1</v>
      </c>
      <c r="M23" s="34" t="s">
        <v>65</v>
      </c>
      <c r="N23" s="38" t="s">
        <v>1</v>
      </c>
      <c r="O23" s="32" t="s">
        <v>407</v>
      </c>
      <c r="P23" s="32" t="s">
        <v>406</v>
      </c>
      <c r="Q23" s="228" t="s">
        <v>405</v>
      </c>
      <c r="R23" s="229"/>
      <c r="S23" s="45">
        <v>1</v>
      </c>
    </row>
    <row r="24" spans="1:19" s="41" customFormat="1" ht="45" customHeight="1">
      <c r="A24" s="44">
        <f t="shared" si="1"/>
        <v>19</v>
      </c>
      <c r="B24" s="31" t="s">
        <v>501</v>
      </c>
      <c r="C24" s="31" t="s">
        <v>140</v>
      </c>
      <c r="D24" s="31" t="s">
        <v>498</v>
      </c>
      <c r="E24" s="31" t="s">
        <v>124</v>
      </c>
      <c r="F24" s="32" t="s">
        <v>274</v>
      </c>
      <c r="G24" s="32" t="s">
        <v>48</v>
      </c>
      <c r="H24" s="42" t="s">
        <v>1</v>
      </c>
      <c r="I24" s="42" t="s">
        <v>1</v>
      </c>
      <c r="J24" s="34" t="s">
        <v>1079</v>
      </c>
      <c r="K24" s="34" t="s">
        <v>1121</v>
      </c>
      <c r="L24" s="43">
        <v>2</v>
      </c>
      <c r="M24" s="34" t="s">
        <v>52</v>
      </c>
      <c r="N24" s="38" t="s">
        <v>902</v>
      </c>
      <c r="O24" s="32" t="s">
        <v>1</v>
      </c>
      <c r="P24" s="32" t="s">
        <v>1</v>
      </c>
      <c r="Q24" s="228" t="s">
        <v>961</v>
      </c>
      <c r="R24" s="229"/>
      <c r="S24" s="45">
        <v>1</v>
      </c>
    </row>
    <row r="25" spans="1:19" s="41" customFormat="1" ht="45" customHeight="1">
      <c r="A25" s="44">
        <f t="shared" si="1"/>
        <v>20</v>
      </c>
      <c r="B25" s="31" t="s">
        <v>502</v>
      </c>
      <c r="C25" s="31" t="s">
        <v>139</v>
      </c>
      <c r="D25" s="31" t="s">
        <v>498</v>
      </c>
      <c r="E25" s="31" t="s">
        <v>116</v>
      </c>
      <c r="F25" s="32" t="s">
        <v>274</v>
      </c>
      <c r="G25" s="32" t="s">
        <v>48</v>
      </c>
      <c r="H25" s="42" t="s">
        <v>1</v>
      </c>
      <c r="I25" s="42" t="s">
        <v>1</v>
      </c>
      <c r="J25" s="34" t="s">
        <v>1079</v>
      </c>
      <c r="K25" s="34" t="s">
        <v>1121</v>
      </c>
      <c r="L25" s="43">
        <v>2</v>
      </c>
      <c r="M25" s="34" t="s">
        <v>52</v>
      </c>
      <c r="N25" s="38" t="s">
        <v>902</v>
      </c>
      <c r="O25" s="32" t="s">
        <v>1</v>
      </c>
      <c r="P25" s="32" t="s">
        <v>1</v>
      </c>
      <c r="Q25" s="228" t="s">
        <v>962</v>
      </c>
      <c r="R25" s="229"/>
      <c r="S25" s="45">
        <v>1</v>
      </c>
    </row>
    <row r="26" spans="1:19" s="41" customFormat="1" ht="45" customHeight="1">
      <c r="A26" s="44">
        <f t="shared" si="1"/>
        <v>21</v>
      </c>
      <c r="B26" s="31" t="s">
        <v>503</v>
      </c>
      <c r="C26" s="31" t="s">
        <v>917</v>
      </c>
      <c r="D26" s="31" t="s">
        <v>504</v>
      </c>
      <c r="E26" s="31" t="s">
        <v>125</v>
      </c>
      <c r="F26" s="32" t="s">
        <v>132</v>
      </c>
      <c r="G26" s="32" t="s">
        <v>48</v>
      </c>
      <c r="H26" s="42" t="s">
        <v>1</v>
      </c>
      <c r="I26" s="42" t="s">
        <v>1</v>
      </c>
      <c r="J26" s="34" t="s">
        <v>1079</v>
      </c>
      <c r="K26" s="34" t="s">
        <v>1122</v>
      </c>
      <c r="L26" s="43">
        <v>3</v>
      </c>
      <c r="M26" s="34" t="s">
        <v>52</v>
      </c>
      <c r="N26" s="38" t="s">
        <v>903</v>
      </c>
      <c r="O26" s="32" t="s">
        <v>1</v>
      </c>
      <c r="P26" s="32" t="s">
        <v>1</v>
      </c>
      <c r="Q26" s="228" t="s">
        <v>1163</v>
      </c>
      <c r="R26" s="229"/>
      <c r="S26" s="45">
        <v>1</v>
      </c>
    </row>
    <row r="27" spans="1:19" s="41" customFormat="1" ht="45" customHeight="1">
      <c r="A27" s="44">
        <f t="shared" si="1"/>
        <v>22</v>
      </c>
      <c r="B27" s="31" t="s">
        <v>505</v>
      </c>
      <c r="C27" s="31" t="s">
        <v>918</v>
      </c>
      <c r="D27" s="31" t="s">
        <v>504</v>
      </c>
      <c r="E27" s="31" t="s">
        <v>273</v>
      </c>
      <c r="F27" s="32" t="s">
        <v>132</v>
      </c>
      <c r="G27" s="32" t="s">
        <v>48</v>
      </c>
      <c r="H27" s="42" t="s">
        <v>1</v>
      </c>
      <c r="I27" s="42" t="s">
        <v>1</v>
      </c>
      <c r="J27" s="34" t="s">
        <v>1079</v>
      </c>
      <c r="K27" s="34" t="s">
        <v>1122</v>
      </c>
      <c r="L27" s="43">
        <v>3</v>
      </c>
      <c r="M27" s="34" t="s">
        <v>52</v>
      </c>
      <c r="N27" s="38" t="s">
        <v>903</v>
      </c>
      <c r="O27" s="32" t="s">
        <v>1</v>
      </c>
      <c r="P27" s="32" t="s">
        <v>1</v>
      </c>
      <c r="Q27" s="228" t="s">
        <v>1164</v>
      </c>
      <c r="R27" s="229"/>
      <c r="S27" s="45">
        <v>1</v>
      </c>
    </row>
    <row r="28" spans="1:19" s="41" customFormat="1" ht="45" customHeight="1">
      <c r="A28" s="44">
        <f t="shared" si="1"/>
        <v>23</v>
      </c>
      <c r="B28" s="31" t="s">
        <v>506</v>
      </c>
      <c r="C28" s="31" t="s">
        <v>1</v>
      </c>
      <c r="D28" s="31" t="s">
        <v>504</v>
      </c>
      <c r="E28" s="31" t="s">
        <v>73</v>
      </c>
      <c r="F28" s="32" t="s">
        <v>29</v>
      </c>
      <c r="G28" s="32" t="s">
        <v>48</v>
      </c>
      <c r="H28" s="42" t="s">
        <v>1</v>
      </c>
      <c r="I28" s="42" t="s">
        <v>1</v>
      </c>
      <c r="J28" s="34" t="s">
        <v>421</v>
      </c>
      <c r="K28" s="34" t="s">
        <v>420</v>
      </c>
      <c r="L28" s="43">
        <v>1</v>
      </c>
      <c r="M28" s="34" t="s">
        <v>65</v>
      </c>
      <c r="N28" s="38" t="s">
        <v>903</v>
      </c>
      <c r="O28" s="32" t="s">
        <v>1</v>
      </c>
      <c r="P28" s="32" t="s">
        <v>889</v>
      </c>
      <c r="Q28" s="228" t="s">
        <v>1</v>
      </c>
      <c r="R28" s="229"/>
      <c r="S28" s="45">
        <v>1</v>
      </c>
    </row>
    <row r="29" spans="1:19" s="41" customFormat="1" ht="45" customHeight="1">
      <c r="A29" s="44">
        <f t="shared" si="1"/>
        <v>24</v>
      </c>
      <c r="B29" s="31" t="s">
        <v>507</v>
      </c>
      <c r="C29" s="31" t="s">
        <v>141</v>
      </c>
      <c r="D29" s="31" t="s">
        <v>504</v>
      </c>
      <c r="E29" s="31" t="s">
        <v>275</v>
      </c>
      <c r="F29" s="32" t="s">
        <v>49</v>
      </c>
      <c r="G29" s="32" t="s">
        <v>48</v>
      </c>
      <c r="H29" s="42" t="s">
        <v>1</v>
      </c>
      <c r="I29" s="42" t="s">
        <v>1</v>
      </c>
      <c r="J29" s="34" t="s">
        <v>1079</v>
      </c>
      <c r="K29" s="34" t="s">
        <v>1114</v>
      </c>
      <c r="L29" s="43">
        <v>1</v>
      </c>
      <c r="M29" s="34" t="s">
        <v>52</v>
      </c>
      <c r="N29" s="38" t="s">
        <v>903</v>
      </c>
      <c r="O29" s="32" t="s">
        <v>1</v>
      </c>
      <c r="P29" s="32" t="s">
        <v>1</v>
      </c>
      <c r="Q29" s="228" t="s">
        <v>1</v>
      </c>
      <c r="R29" s="229"/>
      <c r="S29" s="45">
        <v>1</v>
      </c>
    </row>
    <row r="30" spans="1:19" s="41" customFormat="1" ht="45" customHeight="1">
      <c r="A30" s="44">
        <f t="shared" si="1"/>
        <v>25</v>
      </c>
      <c r="B30" s="31" t="s">
        <v>914</v>
      </c>
      <c r="C30" s="31" t="s">
        <v>915</v>
      </c>
      <c r="D30" s="31" t="s">
        <v>504</v>
      </c>
      <c r="E30" s="31" t="s">
        <v>276</v>
      </c>
      <c r="F30" s="32" t="s">
        <v>49</v>
      </c>
      <c r="G30" s="32" t="s">
        <v>48</v>
      </c>
      <c r="H30" s="42" t="s">
        <v>1</v>
      </c>
      <c r="I30" s="42" t="s">
        <v>1</v>
      </c>
      <c r="J30" s="34" t="s">
        <v>1079</v>
      </c>
      <c r="K30" s="34" t="s">
        <v>1114</v>
      </c>
      <c r="L30" s="43">
        <v>1</v>
      </c>
      <c r="M30" s="34" t="s">
        <v>52</v>
      </c>
      <c r="N30" s="32" t="s">
        <v>903</v>
      </c>
      <c r="O30" s="32" t="s">
        <v>1</v>
      </c>
      <c r="P30" s="32" t="s">
        <v>1</v>
      </c>
      <c r="Q30" s="228" t="s">
        <v>1</v>
      </c>
      <c r="R30" s="229"/>
      <c r="S30" s="45">
        <v>1</v>
      </c>
    </row>
    <row r="31" spans="1:19" s="41" customFormat="1" ht="45" customHeight="1">
      <c r="A31" s="44">
        <f t="shared" si="1"/>
        <v>26</v>
      </c>
      <c r="B31" s="31" t="s">
        <v>916</v>
      </c>
      <c r="C31" s="31" t="s">
        <v>1</v>
      </c>
      <c r="D31" s="31" t="s">
        <v>504</v>
      </c>
      <c r="E31" s="31" t="s">
        <v>919</v>
      </c>
      <c r="F31" s="32" t="s">
        <v>1</v>
      </c>
      <c r="G31" s="32" t="s">
        <v>1</v>
      </c>
      <c r="H31" s="42" t="s">
        <v>1</v>
      </c>
      <c r="I31" s="42" t="s">
        <v>1</v>
      </c>
      <c r="J31" s="34" t="s">
        <v>1</v>
      </c>
      <c r="K31" s="34" t="s">
        <v>404</v>
      </c>
      <c r="L31" s="43">
        <v>1</v>
      </c>
      <c r="M31" s="34" t="s">
        <v>65</v>
      </c>
      <c r="N31" s="38" t="s">
        <v>1</v>
      </c>
      <c r="O31" s="32" t="s">
        <v>407</v>
      </c>
      <c r="P31" s="32" t="s">
        <v>406</v>
      </c>
      <c r="Q31" s="228" t="s">
        <v>405</v>
      </c>
      <c r="R31" s="229"/>
      <c r="S31" s="45">
        <v>1</v>
      </c>
    </row>
    <row r="32" spans="1:19" s="41" customFormat="1" ht="45" customHeight="1">
      <c r="A32" s="44">
        <f t="shared" si="1"/>
        <v>27</v>
      </c>
      <c r="B32" s="31" t="s">
        <v>508</v>
      </c>
      <c r="C32" s="31" t="s">
        <v>240</v>
      </c>
      <c r="D32" s="31" t="s">
        <v>504</v>
      </c>
      <c r="E32" s="31" t="s">
        <v>124</v>
      </c>
      <c r="F32" s="32" t="s">
        <v>274</v>
      </c>
      <c r="G32" s="32" t="s">
        <v>48</v>
      </c>
      <c r="H32" s="42" t="s">
        <v>1</v>
      </c>
      <c r="I32" s="42" t="s">
        <v>1</v>
      </c>
      <c r="J32" s="34" t="s">
        <v>1079</v>
      </c>
      <c r="K32" s="34" t="s">
        <v>1123</v>
      </c>
      <c r="L32" s="43">
        <v>2</v>
      </c>
      <c r="M32" s="34" t="s">
        <v>52</v>
      </c>
      <c r="N32" s="38" t="s">
        <v>903</v>
      </c>
      <c r="O32" s="32" t="s">
        <v>1</v>
      </c>
      <c r="P32" s="32" t="s">
        <v>1</v>
      </c>
      <c r="Q32" s="228" t="s">
        <v>963</v>
      </c>
      <c r="R32" s="229"/>
      <c r="S32" s="45">
        <v>1</v>
      </c>
    </row>
    <row r="33" spans="1:19" s="41" customFormat="1" ht="45" customHeight="1">
      <c r="A33" s="44">
        <f t="shared" si="1"/>
        <v>28</v>
      </c>
      <c r="B33" s="31" t="s">
        <v>509</v>
      </c>
      <c r="C33" s="31" t="s">
        <v>142</v>
      </c>
      <c r="D33" s="31" t="s">
        <v>504</v>
      </c>
      <c r="E33" s="31" t="s">
        <v>116</v>
      </c>
      <c r="F33" s="32" t="s">
        <v>274</v>
      </c>
      <c r="G33" s="32" t="s">
        <v>48</v>
      </c>
      <c r="H33" s="42" t="s">
        <v>1</v>
      </c>
      <c r="I33" s="42" t="s">
        <v>1</v>
      </c>
      <c r="J33" s="34" t="s">
        <v>1079</v>
      </c>
      <c r="K33" s="34" t="s">
        <v>1123</v>
      </c>
      <c r="L33" s="43">
        <v>2</v>
      </c>
      <c r="M33" s="34" t="s">
        <v>52</v>
      </c>
      <c r="N33" s="32" t="s">
        <v>903</v>
      </c>
      <c r="O33" s="32" t="s">
        <v>1</v>
      </c>
      <c r="P33" s="32" t="s">
        <v>1</v>
      </c>
      <c r="Q33" s="228" t="s">
        <v>964</v>
      </c>
      <c r="R33" s="229"/>
      <c r="S33" s="45">
        <v>1</v>
      </c>
    </row>
    <row r="34" spans="1:19" s="41" customFormat="1" ht="45" customHeight="1">
      <c r="A34" s="44">
        <f t="shared" si="1"/>
        <v>29</v>
      </c>
      <c r="B34" s="31" t="s">
        <v>510</v>
      </c>
      <c r="C34" s="31" t="s">
        <v>1</v>
      </c>
      <c r="D34" s="31" t="s">
        <v>504</v>
      </c>
      <c r="E34" s="31" t="s">
        <v>277</v>
      </c>
      <c r="F34" s="32" t="s">
        <v>49</v>
      </c>
      <c r="G34" s="32" t="s">
        <v>48</v>
      </c>
      <c r="H34" s="42" t="s">
        <v>1</v>
      </c>
      <c r="I34" s="42" t="s">
        <v>1</v>
      </c>
      <c r="J34" s="34" t="s">
        <v>418</v>
      </c>
      <c r="K34" s="34" t="s">
        <v>419</v>
      </c>
      <c r="L34" s="43">
        <v>1</v>
      </c>
      <c r="M34" s="34" t="s">
        <v>65</v>
      </c>
      <c r="N34" s="32" t="s">
        <v>903</v>
      </c>
      <c r="O34" s="32" t="s">
        <v>1</v>
      </c>
      <c r="P34" s="32" t="s">
        <v>888</v>
      </c>
      <c r="Q34" s="228" t="s">
        <v>1</v>
      </c>
      <c r="R34" s="229"/>
      <c r="S34" s="45">
        <v>1</v>
      </c>
    </row>
    <row r="35" spans="1:19" s="41" customFormat="1" ht="45" customHeight="1">
      <c r="A35" s="44">
        <f t="shared" si="1"/>
        <v>30</v>
      </c>
      <c r="B35" s="31" t="s">
        <v>524</v>
      </c>
      <c r="C35" s="31" t="s">
        <v>1</v>
      </c>
      <c r="D35" s="31" t="s">
        <v>525</v>
      </c>
      <c r="E35" s="32" t="s">
        <v>522</v>
      </c>
      <c r="F35" s="32" t="s">
        <v>523</v>
      </c>
      <c r="G35" s="33" t="s">
        <v>48</v>
      </c>
      <c r="H35" s="33" t="s">
        <v>1</v>
      </c>
      <c r="I35" s="33" t="s">
        <v>1</v>
      </c>
      <c r="J35" s="34" t="s">
        <v>1124</v>
      </c>
      <c r="K35" s="34" t="s">
        <v>1125</v>
      </c>
      <c r="L35" s="35">
        <v>1</v>
      </c>
      <c r="M35" s="32" t="s">
        <v>52</v>
      </c>
      <c r="N35" s="32" t="s">
        <v>903</v>
      </c>
      <c r="O35" s="32" t="s">
        <v>1</v>
      </c>
      <c r="P35" s="32" t="s">
        <v>1</v>
      </c>
      <c r="Q35" s="228" t="s">
        <v>1</v>
      </c>
      <c r="R35" s="229"/>
      <c r="S35" s="45">
        <v>1</v>
      </c>
    </row>
    <row r="36" spans="1:19" s="41" customFormat="1" ht="45" customHeight="1">
      <c r="A36" s="44">
        <f t="shared" si="1"/>
        <v>31</v>
      </c>
      <c r="B36" s="31" t="s">
        <v>518</v>
      </c>
      <c r="C36" s="31" t="s">
        <v>1</v>
      </c>
      <c r="D36" s="31" t="s">
        <v>519</v>
      </c>
      <c r="E36" s="31" t="s">
        <v>278</v>
      </c>
      <c r="F36" s="32" t="s">
        <v>49</v>
      </c>
      <c r="G36" s="32" t="s">
        <v>48</v>
      </c>
      <c r="H36" s="33" t="s">
        <v>1</v>
      </c>
      <c r="I36" s="33" t="s">
        <v>1</v>
      </c>
      <c r="J36" s="34" t="s">
        <v>1079</v>
      </c>
      <c r="K36" s="34" t="s">
        <v>1136</v>
      </c>
      <c r="L36" s="35">
        <v>1</v>
      </c>
      <c r="M36" s="32" t="s">
        <v>52</v>
      </c>
      <c r="N36" s="32" t="s">
        <v>903</v>
      </c>
      <c r="O36" s="32" t="s">
        <v>1</v>
      </c>
      <c r="P36" s="32" t="s">
        <v>1</v>
      </c>
      <c r="Q36" s="228" t="s">
        <v>1</v>
      </c>
      <c r="R36" s="229"/>
      <c r="S36" s="45">
        <v>1</v>
      </c>
    </row>
    <row r="37" spans="1:19" s="41" customFormat="1" ht="45" customHeight="1">
      <c r="A37" s="44">
        <f t="shared" si="1"/>
        <v>32</v>
      </c>
      <c r="B37" s="31" t="s">
        <v>520</v>
      </c>
      <c r="C37" s="31" t="s">
        <v>1</v>
      </c>
      <c r="D37" s="31" t="s">
        <v>519</v>
      </c>
      <c r="E37" s="31" t="s">
        <v>117</v>
      </c>
      <c r="F37" s="32" t="s">
        <v>49</v>
      </c>
      <c r="G37" s="32" t="s">
        <v>48</v>
      </c>
      <c r="H37" s="33" t="s">
        <v>1</v>
      </c>
      <c r="I37" s="33" t="s">
        <v>1</v>
      </c>
      <c r="J37" s="34" t="s">
        <v>1079</v>
      </c>
      <c r="K37" s="34" t="s">
        <v>1136</v>
      </c>
      <c r="L37" s="35">
        <v>1</v>
      </c>
      <c r="M37" s="32" t="s">
        <v>52</v>
      </c>
      <c r="N37" s="32" t="s">
        <v>903</v>
      </c>
      <c r="O37" s="32" t="s">
        <v>1</v>
      </c>
      <c r="P37" s="32" t="s">
        <v>1</v>
      </c>
      <c r="Q37" s="228" t="s">
        <v>1</v>
      </c>
      <c r="R37" s="229"/>
      <c r="S37" s="45">
        <v>1</v>
      </c>
    </row>
    <row r="38" spans="1:19" s="41" customFormat="1" ht="45" customHeight="1">
      <c r="A38" s="44">
        <f t="shared" si="1"/>
        <v>33</v>
      </c>
      <c r="B38" s="31" t="s">
        <v>943</v>
      </c>
      <c r="C38" s="31" t="s">
        <v>385</v>
      </c>
      <c r="D38" s="31" t="s">
        <v>511</v>
      </c>
      <c r="E38" s="31" t="s">
        <v>64</v>
      </c>
      <c r="F38" s="32" t="s">
        <v>49</v>
      </c>
      <c r="G38" s="32" t="s">
        <v>48</v>
      </c>
      <c r="H38" s="33" t="s">
        <v>1</v>
      </c>
      <c r="I38" s="33" t="s">
        <v>1</v>
      </c>
      <c r="J38" s="34" t="s">
        <v>1079</v>
      </c>
      <c r="K38" s="34" t="s">
        <v>1114</v>
      </c>
      <c r="L38" s="35">
        <v>1</v>
      </c>
      <c r="M38" s="34" t="s">
        <v>52</v>
      </c>
      <c r="N38" s="32" t="s">
        <v>903</v>
      </c>
      <c r="O38" s="32" t="s">
        <v>1</v>
      </c>
      <c r="P38" s="32" t="s">
        <v>1</v>
      </c>
      <c r="Q38" s="228" t="s">
        <v>1</v>
      </c>
      <c r="R38" s="229"/>
      <c r="S38" s="45">
        <v>1</v>
      </c>
    </row>
    <row r="39" spans="1:19" s="41" customFormat="1" ht="45" customHeight="1">
      <c r="A39" s="44">
        <f t="shared" si="1"/>
        <v>34</v>
      </c>
      <c r="B39" s="31" t="s">
        <v>948</v>
      </c>
      <c r="C39" s="31" t="s">
        <v>1</v>
      </c>
      <c r="D39" s="31" t="s">
        <v>511</v>
      </c>
      <c r="E39" s="31" t="s">
        <v>919</v>
      </c>
      <c r="F39" s="32" t="s">
        <v>1</v>
      </c>
      <c r="G39" s="32" t="s">
        <v>1</v>
      </c>
      <c r="H39" s="42" t="s">
        <v>1</v>
      </c>
      <c r="I39" s="42" t="s">
        <v>1</v>
      </c>
      <c r="J39" s="34" t="s">
        <v>1</v>
      </c>
      <c r="K39" s="34" t="s">
        <v>404</v>
      </c>
      <c r="L39" s="43">
        <v>1</v>
      </c>
      <c r="M39" s="34" t="s">
        <v>65</v>
      </c>
      <c r="N39" s="32" t="s">
        <v>1</v>
      </c>
      <c r="O39" s="32" t="s">
        <v>407</v>
      </c>
      <c r="P39" s="32" t="s">
        <v>406</v>
      </c>
      <c r="Q39" s="228" t="s">
        <v>405</v>
      </c>
      <c r="R39" s="229"/>
      <c r="S39" s="45">
        <v>1</v>
      </c>
    </row>
    <row r="40" spans="1:19" s="41" customFormat="1" ht="45" customHeight="1">
      <c r="A40" s="44">
        <f t="shared" si="1"/>
        <v>35</v>
      </c>
      <c r="B40" s="31" t="s">
        <v>476</v>
      </c>
      <c r="C40" s="31" t="s">
        <v>133</v>
      </c>
      <c r="D40" s="31" t="s">
        <v>477</v>
      </c>
      <c r="E40" s="31" t="s">
        <v>123</v>
      </c>
      <c r="F40" s="32" t="s">
        <v>27</v>
      </c>
      <c r="G40" s="32" t="s">
        <v>48</v>
      </c>
      <c r="H40" s="42" t="s">
        <v>1</v>
      </c>
      <c r="I40" s="42" t="s">
        <v>1</v>
      </c>
      <c r="J40" s="34" t="s">
        <v>1096</v>
      </c>
      <c r="K40" s="34" t="s">
        <v>1126</v>
      </c>
      <c r="L40" s="43">
        <v>1</v>
      </c>
      <c r="M40" s="34" t="s">
        <v>52</v>
      </c>
      <c r="N40" s="32" t="s">
        <v>902</v>
      </c>
      <c r="O40" s="32" t="s">
        <v>1</v>
      </c>
      <c r="P40" s="32" t="s">
        <v>1</v>
      </c>
      <c r="Q40" s="228" t="s">
        <v>1</v>
      </c>
      <c r="R40" s="229"/>
      <c r="S40" s="45">
        <v>1</v>
      </c>
    </row>
    <row r="41" spans="1:19" s="41" customFormat="1" ht="45" customHeight="1">
      <c r="A41" s="44">
        <f t="shared" si="1"/>
        <v>36</v>
      </c>
      <c r="B41" s="31" t="s">
        <v>478</v>
      </c>
      <c r="C41" s="31" t="s">
        <v>783</v>
      </c>
      <c r="D41" s="31" t="s">
        <v>477</v>
      </c>
      <c r="E41" s="31" t="s">
        <v>67</v>
      </c>
      <c r="F41" s="32" t="s">
        <v>68</v>
      </c>
      <c r="G41" s="32" t="s">
        <v>48</v>
      </c>
      <c r="H41" s="42" t="s">
        <v>1</v>
      </c>
      <c r="I41" s="42" t="s">
        <v>1</v>
      </c>
      <c r="J41" s="34" t="s">
        <v>1127</v>
      </c>
      <c r="K41" s="34" t="s">
        <v>1128</v>
      </c>
      <c r="L41" s="43">
        <v>1</v>
      </c>
      <c r="M41" s="34" t="s">
        <v>52</v>
      </c>
      <c r="N41" s="32" t="s">
        <v>902</v>
      </c>
      <c r="O41" s="32" t="s">
        <v>1</v>
      </c>
      <c r="P41" s="32" t="s">
        <v>1</v>
      </c>
      <c r="Q41" s="228" t="s">
        <v>1247</v>
      </c>
      <c r="R41" s="229"/>
      <c r="S41" s="45">
        <v>1</v>
      </c>
    </row>
    <row r="42" spans="1:19" s="41" customFormat="1" ht="45.75" customHeight="1">
      <c r="A42" s="44">
        <f t="shared" si="1"/>
        <v>37</v>
      </c>
      <c r="B42" s="31" t="s">
        <v>1175</v>
      </c>
      <c r="C42" s="31" t="s">
        <v>1176</v>
      </c>
      <c r="D42" s="31" t="s">
        <v>477</v>
      </c>
      <c r="E42" s="31" t="s">
        <v>288</v>
      </c>
      <c r="F42" s="32" t="s">
        <v>252</v>
      </c>
      <c r="G42" s="32" t="s">
        <v>1177</v>
      </c>
      <c r="H42" s="42"/>
      <c r="I42" s="42"/>
      <c r="J42" s="34" t="s">
        <v>1059</v>
      </c>
      <c r="K42" s="34" t="s">
        <v>1178</v>
      </c>
      <c r="L42" s="43">
        <v>1</v>
      </c>
      <c r="M42" s="34" t="s">
        <v>52</v>
      </c>
      <c r="N42" s="32" t="s">
        <v>902</v>
      </c>
      <c r="O42" s="32" t="s">
        <v>1</v>
      </c>
      <c r="P42" s="32" t="s">
        <v>1</v>
      </c>
      <c r="Q42" s="228" t="s">
        <v>1</v>
      </c>
      <c r="R42" s="229"/>
      <c r="S42" s="45">
        <v>1</v>
      </c>
    </row>
    <row r="43" spans="1:19" s="41" customFormat="1" ht="45" customHeight="1">
      <c r="A43" s="44">
        <f t="shared" si="1"/>
        <v>38</v>
      </c>
      <c r="B43" s="31" t="s">
        <v>1179</v>
      </c>
      <c r="C43" s="31" t="s">
        <v>1180</v>
      </c>
      <c r="D43" s="31" t="s">
        <v>477</v>
      </c>
      <c r="E43" s="31" t="s">
        <v>66</v>
      </c>
      <c r="F43" s="31" t="s">
        <v>29</v>
      </c>
      <c r="G43" s="32" t="s">
        <v>1181</v>
      </c>
      <c r="H43" s="42"/>
      <c r="I43" s="42"/>
      <c r="J43" s="34" t="s">
        <v>1092</v>
      </c>
      <c r="K43" s="34" t="s">
        <v>1106</v>
      </c>
      <c r="L43" s="43">
        <v>1</v>
      </c>
      <c r="M43" s="34" t="s">
        <v>52</v>
      </c>
      <c r="N43" s="32" t="s">
        <v>902</v>
      </c>
      <c r="O43" s="32" t="s">
        <v>1</v>
      </c>
      <c r="P43" s="32" t="s">
        <v>1</v>
      </c>
      <c r="Q43" s="228" t="s">
        <v>1</v>
      </c>
      <c r="R43" s="229"/>
      <c r="S43" s="45">
        <v>1</v>
      </c>
    </row>
    <row r="44" spans="1:19" s="41" customFormat="1" ht="45" customHeight="1">
      <c r="A44" s="44">
        <f t="shared" si="1"/>
        <v>39</v>
      </c>
      <c r="B44" s="31" t="s">
        <v>947</v>
      </c>
      <c r="C44" s="31" t="s">
        <v>1</v>
      </c>
      <c r="D44" s="31" t="s">
        <v>479</v>
      </c>
      <c r="E44" s="31" t="s">
        <v>919</v>
      </c>
      <c r="F44" s="32" t="s">
        <v>1</v>
      </c>
      <c r="G44" s="32" t="s">
        <v>1</v>
      </c>
      <c r="H44" s="42" t="s">
        <v>1</v>
      </c>
      <c r="I44" s="42" t="s">
        <v>1</v>
      </c>
      <c r="J44" s="34" t="s">
        <v>1</v>
      </c>
      <c r="K44" s="34" t="s">
        <v>404</v>
      </c>
      <c r="L44" s="43">
        <v>1</v>
      </c>
      <c r="M44" s="34" t="s">
        <v>65</v>
      </c>
      <c r="N44" s="32" t="s">
        <v>1</v>
      </c>
      <c r="O44" s="32" t="s">
        <v>407</v>
      </c>
      <c r="P44" s="32" t="s">
        <v>406</v>
      </c>
      <c r="Q44" s="228" t="s">
        <v>405</v>
      </c>
      <c r="R44" s="229"/>
      <c r="S44" s="45">
        <v>1</v>
      </c>
    </row>
    <row r="45" spans="1:19" s="65" customFormat="1" ht="45" customHeight="1">
      <c r="A45" s="44">
        <f t="shared" si="1"/>
        <v>40</v>
      </c>
      <c r="B45" s="31" t="s">
        <v>946</v>
      </c>
      <c r="C45" s="31" t="s">
        <v>134</v>
      </c>
      <c r="D45" s="31" t="s">
        <v>479</v>
      </c>
      <c r="E45" s="31" t="s">
        <v>1182</v>
      </c>
      <c r="F45" s="32" t="s">
        <v>49</v>
      </c>
      <c r="G45" s="32" t="s">
        <v>48</v>
      </c>
      <c r="H45" s="42" t="s">
        <v>1</v>
      </c>
      <c r="I45" s="42" t="s">
        <v>1</v>
      </c>
      <c r="J45" s="34" t="s">
        <v>1096</v>
      </c>
      <c r="K45" s="34" t="s">
        <v>1130</v>
      </c>
      <c r="L45" s="43">
        <v>1</v>
      </c>
      <c r="M45" s="34" t="s">
        <v>52</v>
      </c>
      <c r="N45" s="32" t="s">
        <v>902</v>
      </c>
      <c r="O45" s="32" t="s">
        <v>1</v>
      </c>
      <c r="P45" s="32" t="s">
        <v>1</v>
      </c>
      <c r="Q45" s="228" t="s">
        <v>1</v>
      </c>
      <c r="R45" s="229"/>
      <c r="S45" s="45">
        <v>1</v>
      </c>
    </row>
    <row r="46" spans="1:19" s="41" customFormat="1" ht="45" customHeight="1">
      <c r="A46" s="44">
        <f t="shared" si="1"/>
        <v>41</v>
      </c>
      <c r="B46" s="31" t="s">
        <v>514</v>
      </c>
      <c r="C46" s="31" t="s">
        <v>784</v>
      </c>
      <c r="D46" s="31" t="s">
        <v>515</v>
      </c>
      <c r="E46" s="31" t="s">
        <v>123</v>
      </c>
      <c r="F46" s="32" t="s">
        <v>27</v>
      </c>
      <c r="G46" s="32" t="s">
        <v>48</v>
      </c>
      <c r="H46" s="42" t="s">
        <v>1</v>
      </c>
      <c r="I46" s="42" t="s">
        <v>1</v>
      </c>
      <c r="J46" s="34" t="s">
        <v>1096</v>
      </c>
      <c r="K46" s="34" t="s">
        <v>1129</v>
      </c>
      <c r="L46" s="43">
        <v>1</v>
      </c>
      <c r="M46" s="34" t="s">
        <v>52</v>
      </c>
      <c r="N46" s="38" t="s">
        <v>902</v>
      </c>
      <c r="O46" s="32" t="s">
        <v>1</v>
      </c>
      <c r="P46" s="32" t="s">
        <v>1</v>
      </c>
      <c r="Q46" s="228" t="s">
        <v>1</v>
      </c>
      <c r="R46" s="229"/>
      <c r="S46" s="45">
        <v>1</v>
      </c>
    </row>
    <row r="47" spans="1:19" s="41" customFormat="1" ht="45" customHeight="1">
      <c r="A47" s="44">
        <f t="shared" si="1"/>
        <v>42</v>
      </c>
      <c r="B47" s="31" t="s">
        <v>516</v>
      </c>
      <c r="C47" s="31" t="s">
        <v>786</v>
      </c>
      <c r="D47" s="31" t="s">
        <v>515</v>
      </c>
      <c r="E47" s="31" t="s">
        <v>67</v>
      </c>
      <c r="F47" s="32" t="s">
        <v>68</v>
      </c>
      <c r="G47" s="32" t="s">
        <v>48</v>
      </c>
      <c r="H47" s="42" t="s">
        <v>1</v>
      </c>
      <c r="I47" s="42" t="s">
        <v>1</v>
      </c>
      <c r="J47" s="34" t="s">
        <v>1127</v>
      </c>
      <c r="K47" s="34" t="s">
        <v>1128</v>
      </c>
      <c r="L47" s="43">
        <v>1</v>
      </c>
      <c r="M47" s="34" t="s">
        <v>52</v>
      </c>
      <c r="N47" s="38" t="s">
        <v>902</v>
      </c>
      <c r="O47" s="32" t="s">
        <v>1</v>
      </c>
      <c r="P47" s="32" t="s">
        <v>1</v>
      </c>
      <c r="Q47" s="228" t="s">
        <v>1247</v>
      </c>
      <c r="R47" s="229"/>
      <c r="S47" s="45">
        <v>1</v>
      </c>
    </row>
    <row r="48" spans="1:19" s="41" customFormat="1" ht="45" customHeight="1">
      <c r="A48" s="44">
        <f t="shared" si="1"/>
        <v>43</v>
      </c>
      <c r="B48" s="31" t="s">
        <v>1183</v>
      </c>
      <c r="C48" s="31" t="s">
        <v>1184</v>
      </c>
      <c r="D48" s="31" t="s">
        <v>1185</v>
      </c>
      <c r="E48" s="31" t="s">
        <v>288</v>
      </c>
      <c r="F48" s="32" t="s">
        <v>252</v>
      </c>
      <c r="G48" s="32" t="s">
        <v>1177</v>
      </c>
      <c r="H48" s="42"/>
      <c r="I48" s="42"/>
      <c r="J48" s="34" t="s">
        <v>1059</v>
      </c>
      <c r="K48" s="34" t="s">
        <v>1178</v>
      </c>
      <c r="L48" s="43">
        <v>1</v>
      </c>
      <c r="M48" s="34" t="s">
        <v>52</v>
      </c>
      <c r="N48" s="38" t="s">
        <v>902</v>
      </c>
      <c r="O48" s="32" t="s">
        <v>1</v>
      </c>
      <c r="P48" s="32" t="s">
        <v>1</v>
      </c>
      <c r="Q48" s="228" t="s">
        <v>1</v>
      </c>
      <c r="R48" s="229"/>
      <c r="S48" s="45">
        <v>1</v>
      </c>
    </row>
    <row r="49" spans="1:19" s="41" customFormat="1" ht="45" customHeight="1">
      <c r="A49" s="44">
        <f t="shared" si="1"/>
        <v>44</v>
      </c>
      <c r="B49" s="31" t="s">
        <v>1186</v>
      </c>
      <c r="C49" s="31" t="s">
        <v>1187</v>
      </c>
      <c r="D49" s="31" t="s">
        <v>1185</v>
      </c>
      <c r="E49" s="31" t="s">
        <v>66</v>
      </c>
      <c r="F49" s="31" t="s">
        <v>29</v>
      </c>
      <c r="G49" s="32" t="s">
        <v>1181</v>
      </c>
      <c r="H49" s="42"/>
      <c r="I49" s="42"/>
      <c r="J49" s="34" t="s">
        <v>1092</v>
      </c>
      <c r="K49" s="34" t="s">
        <v>1106</v>
      </c>
      <c r="L49" s="43">
        <v>1</v>
      </c>
      <c r="M49" s="34" t="s">
        <v>52</v>
      </c>
      <c r="N49" s="38" t="s">
        <v>902</v>
      </c>
      <c r="O49" s="32" t="s">
        <v>1</v>
      </c>
      <c r="P49" s="32" t="s">
        <v>1</v>
      </c>
      <c r="Q49" s="228" t="s">
        <v>1</v>
      </c>
      <c r="R49" s="229"/>
      <c r="S49" s="45">
        <v>1</v>
      </c>
    </row>
    <row r="50" spans="1:19" s="41" customFormat="1" ht="45" customHeight="1">
      <c r="A50" s="44">
        <f t="shared" si="1"/>
        <v>45</v>
      </c>
      <c r="B50" s="31" t="s">
        <v>949</v>
      </c>
      <c r="C50" s="31" t="s">
        <v>785</v>
      </c>
      <c r="D50" s="31" t="s">
        <v>517</v>
      </c>
      <c r="E50" s="31" t="s">
        <v>64</v>
      </c>
      <c r="F50" s="32" t="s">
        <v>49</v>
      </c>
      <c r="G50" s="32" t="s">
        <v>48</v>
      </c>
      <c r="H50" s="42" t="s">
        <v>1</v>
      </c>
      <c r="I50" s="42" t="s">
        <v>1</v>
      </c>
      <c r="J50" s="34" t="s">
        <v>1096</v>
      </c>
      <c r="K50" s="34" t="s">
        <v>1130</v>
      </c>
      <c r="L50" s="43">
        <v>1</v>
      </c>
      <c r="M50" s="34" t="s">
        <v>52</v>
      </c>
      <c r="N50" s="38" t="s">
        <v>902</v>
      </c>
      <c r="O50" s="32" t="s">
        <v>1</v>
      </c>
      <c r="P50" s="32" t="s">
        <v>1</v>
      </c>
      <c r="Q50" s="228" t="s">
        <v>1</v>
      </c>
      <c r="R50" s="229"/>
      <c r="S50" s="45">
        <v>1</v>
      </c>
    </row>
    <row r="51" spans="1:19" s="41" customFormat="1" ht="45" customHeight="1">
      <c r="A51" s="44">
        <f t="shared" si="1"/>
        <v>46</v>
      </c>
      <c r="B51" s="31" t="s">
        <v>950</v>
      </c>
      <c r="C51" s="31" t="s">
        <v>1</v>
      </c>
      <c r="D51" s="31" t="s">
        <v>517</v>
      </c>
      <c r="E51" s="31" t="s">
        <v>919</v>
      </c>
      <c r="F51" s="32" t="s">
        <v>1</v>
      </c>
      <c r="G51" s="32" t="s">
        <v>1</v>
      </c>
      <c r="H51" s="42" t="s">
        <v>1</v>
      </c>
      <c r="I51" s="42" t="s">
        <v>1</v>
      </c>
      <c r="J51" s="34" t="s">
        <v>1</v>
      </c>
      <c r="K51" s="34" t="s">
        <v>404</v>
      </c>
      <c r="L51" s="43">
        <v>1</v>
      </c>
      <c r="M51" s="34" t="s">
        <v>65</v>
      </c>
      <c r="N51" s="32" t="s">
        <v>1</v>
      </c>
      <c r="O51" s="32" t="s">
        <v>407</v>
      </c>
      <c r="P51" s="32" t="s">
        <v>406</v>
      </c>
      <c r="Q51" s="228" t="s">
        <v>405</v>
      </c>
      <c r="R51" s="229"/>
      <c r="S51" s="45">
        <v>1</v>
      </c>
    </row>
    <row r="52" spans="1:19" s="41" customFormat="1" ht="45" customHeight="1">
      <c r="A52" s="44">
        <f t="shared" si="1"/>
        <v>47</v>
      </c>
      <c r="B52" s="31" t="s">
        <v>944</v>
      </c>
      <c r="C52" s="31" t="s">
        <v>1</v>
      </c>
      <c r="D52" s="31" t="s">
        <v>512</v>
      </c>
      <c r="E52" s="31" t="s">
        <v>64</v>
      </c>
      <c r="F52" s="32" t="s">
        <v>49</v>
      </c>
      <c r="G52" s="32" t="s">
        <v>48</v>
      </c>
      <c r="H52" s="42" t="s">
        <v>1</v>
      </c>
      <c r="I52" s="42" t="s">
        <v>1</v>
      </c>
      <c r="J52" s="34" t="s">
        <v>418</v>
      </c>
      <c r="K52" s="34" t="s">
        <v>419</v>
      </c>
      <c r="L52" s="43">
        <v>1</v>
      </c>
      <c r="M52" s="34" t="s">
        <v>65</v>
      </c>
      <c r="N52" s="38" t="s">
        <v>903</v>
      </c>
      <c r="O52" s="32" t="s">
        <v>1</v>
      </c>
      <c r="P52" s="32" t="s">
        <v>888</v>
      </c>
      <c r="Q52" s="228" t="s">
        <v>1</v>
      </c>
      <c r="R52" s="229"/>
      <c r="S52" s="45">
        <v>1</v>
      </c>
    </row>
    <row r="53" spans="1:19" s="41" customFormat="1" ht="45" customHeight="1">
      <c r="A53" s="44">
        <f t="shared" si="1"/>
        <v>48</v>
      </c>
      <c r="B53" s="31" t="s">
        <v>951</v>
      </c>
      <c r="C53" s="31" t="s">
        <v>1</v>
      </c>
      <c r="D53" s="31" t="s">
        <v>551</v>
      </c>
      <c r="E53" s="31" t="s">
        <v>919</v>
      </c>
      <c r="F53" s="32" t="s">
        <v>1</v>
      </c>
      <c r="G53" s="32" t="s">
        <v>1</v>
      </c>
      <c r="H53" s="42" t="s">
        <v>1</v>
      </c>
      <c r="I53" s="42" t="s">
        <v>1</v>
      </c>
      <c r="J53" s="34" t="s">
        <v>1</v>
      </c>
      <c r="K53" s="34" t="s">
        <v>404</v>
      </c>
      <c r="L53" s="43">
        <v>1</v>
      </c>
      <c r="M53" s="34" t="s">
        <v>65</v>
      </c>
      <c r="N53" s="32" t="s">
        <v>1</v>
      </c>
      <c r="O53" s="32" t="s">
        <v>407</v>
      </c>
      <c r="P53" s="32" t="s">
        <v>406</v>
      </c>
      <c r="Q53" s="228" t="s">
        <v>405</v>
      </c>
      <c r="R53" s="229"/>
      <c r="S53" s="45">
        <v>1</v>
      </c>
    </row>
    <row r="54" spans="1:19" s="41" customFormat="1" ht="45" customHeight="1" thickBot="1">
      <c r="A54" s="44">
        <f t="shared" si="1"/>
        <v>49</v>
      </c>
      <c r="B54" s="50" t="s">
        <v>513</v>
      </c>
      <c r="C54" s="50" t="s">
        <v>1</v>
      </c>
      <c r="D54" s="50" t="s">
        <v>69</v>
      </c>
      <c r="E54" s="50" t="s">
        <v>70</v>
      </c>
      <c r="F54" s="51" t="s">
        <v>69</v>
      </c>
      <c r="G54" s="51" t="s">
        <v>48</v>
      </c>
      <c r="H54" s="67" t="s">
        <v>1</v>
      </c>
      <c r="I54" s="67" t="s">
        <v>1</v>
      </c>
      <c r="J54" s="53" t="s">
        <v>424</v>
      </c>
      <c r="K54" s="53" t="s">
        <v>1007</v>
      </c>
      <c r="L54" s="68">
        <v>1</v>
      </c>
      <c r="M54" s="53" t="s">
        <v>65</v>
      </c>
      <c r="N54" s="69" t="s">
        <v>902</v>
      </c>
      <c r="O54" s="51" t="s">
        <v>1</v>
      </c>
      <c r="P54" s="51" t="s">
        <v>890</v>
      </c>
      <c r="Q54" s="230" t="s">
        <v>1</v>
      </c>
      <c r="R54" s="231"/>
      <c r="S54" s="55">
        <v>1</v>
      </c>
    </row>
  </sheetData>
  <autoFilter ref="A5:S54" xr:uid="{FB59BD55-141D-42C4-9187-BE6CCD8CBDC6}">
    <filterColumn colId="16" showButton="0"/>
  </autoFilter>
  <sortState xmlns:xlrd2="http://schemas.microsoft.com/office/spreadsheetml/2017/richdata2" ref="A6:S54">
    <sortCondition ref="B6:B54"/>
  </sortState>
  <mergeCells count="62">
    <mergeCell ref="Q16:R16"/>
    <mergeCell ref="Q39:R39"/>
    <mergeCell ref="Q40:R40"/>
    <mergeCell ref="Q31:R31"/>
    <mergeCell ref="Q32:R32"/>
    <mergeCell ref="Q33:R33"/>
    <mergeCell ref="Q30:R30"/>
    <mergeCell ref="Q38:R38"/>
    <mergeCell ref="Q17:R17"/>
    <mergeCell ref="Q18:R18"/>
    <mergeCell ref="Q29:R29"/>
    <mergeCell ref="Q37:R37"/>
    <mergeCell ref="Q20:R20"/>
    <mergeCell ref="Q19:R19"/>
    <mergeCell ref="Q41:R41"/>
    <mergeCell ref="Q36:R36"/>
    <mergeCell ref="Q34:R34"/>
    <mergeCell ref="Q35:R35"/>
    <mergeCell ref="Q21:R21"/>
    <mergeCell ref="Q22:R22"/>
    <mergeCell ref="Q23:R23"/>
    <mergeCell ref="Q24:R24"/>
    <mergeCell ref="Q25:R25"/>
    <mergeCell ref="Q26:R26"/>
    <mergeCell ref="Q27:R27"/>
    <mergeCell ref="Q28:R28"/>
    <mergeCell ref="Q5:R5"/>
    <mergeCell ref="Q12:R12"/>
    <mergeCell ref="Q10:R10"/>
    <mergeCell ref="Q14:R14"/>
    <mergeCell ref="Q15:R15"/>
    <mergeCell ref="Q9:R9"/>
    <mergeCell ref="Q11:R11"/>
    <mergeCell ref="Q13:R13"/>
    <mergeCell ref="Q6:R6"/>
    <mergeCell ref="Q7:R7"/>
    <mergeCell ref="Q8:R8"/>
    <mergeCell ref="N1:P2"/>
    <mergeCell ref="R1:S1"/>
    <mergeCell ref="R2:S2"/>
    <mergeCell ref="H3:H4"/>
    <mergeCell ref="I3:L4"/>
    <mergeCell ref="N3:P3"/>
    <mergeCell ref="N4:P4"/>
    <mergeCell ref="A1:D4"/>
    <mergeCell ref="E1:G4"/>
    <mergeCell ref="H1:H2"/>
    <mergeCell ref="I1:L2"/>
    <mergeCell ref="M1:M2"/>
    <mergeCell ref="Q50:R50"/>
    <mergeCell ref="Q54:R54"/>
    <mergeCell ref="Q46:R46"/>
    <mergeCell ref="Q47:R47"/>
    <mergeCell ref="Q52:R52"/>
    <mergeCell ref="Q51:R51"/>
    <mergeCell ref="Q53:R53"/>
    <mergeCell ref="Q42:R42"/>
    <mergeCell ref="Q43:R43"/>
    <mergeCell ref="Q48:R48"/>
    <mergeCell ref="Q49:R49"/>
    <mergeCell ref="Q45:R45"/>
    <mergeCell ref="Q44:R44"/>
  </mergeCells>
  <phoneticPr fontId="10" type="noConversion"/>
  <conditionalFormatting sqref="B42:B43">
    <cfRule type="duplicateValues" dxfId="18" priority="11"/>
  </conditionalFormatting>
  <conditionalFormatting sqref="B44 B46:B47 B51:B54 B6:B41">
    <cfRule type="duplicateValues" dxfId="17" priority="12"/>
  </conditionalFormatting>
  <conditionalFormatting sqref="B45">
    <cfRule type="duplicateValues" dxfId="16" priority="10"/>
  </conditionalFormatting>
  <conditionalFormatting sqref="B48:B49">
    <cfRule type="duplicateValues" dxfId="15" priority="9"/>
  </conditionalFormatting>
  <conditionalFormatting sqref="B50">
    <cfRule type="duplicateValues" dxfId="14" priority="8"/>
  </conditionalFormatting>
  <printOptions horizontalCentered="1"/>
  <pageMargins left="0.51181102362204722" right="0.51181102362204722" top="0.39370078740157483" bottom="0.39370078740157483" header="0.31496062992125984" footer="0.31496062992125984"/>
  <pageSetup paperSize="9" scale="25" fitToHeight="0" orientation="landscape" r:id="rId1"/>
  <headerFooter>
    <oddHeader xml:space="preserve">&amp;R&amp;K00+000
&amp;"Arial,Negrito"&amp;12&amp;K000000&amp;P de &amp;K000000&amp;N&amp;"Arial,Normal"&amp;10      &amp;K00+000                                                                                                                                        .    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F394-8ED2-4A27-9E7B-EBACB6FE76B2}">
  <sheetPr>
    <pageSetUpPr fitToPage="1"/>
  </sheetPr>
  <dimension ref="A1:T303"/>
  <sheetViews>
    <sheetView showGridLines="0" view="pageBreakPreview" zoomScale="70" zoomScaleNormal="55" zoomScaleSheetLayoutView="70" workbookViewId="0">
      <pane ySplit="5" topLeftCell="A6" activePane="bottomLeft" state="frozen"/>
      <selection activeCell="A11" sqref="A11:Q11"/>
      <selection pane="bottomLeft" activeCell="A6" sqref="A6"/>
    </sheetView>
  </sheetViews>
  <sheetFormatPr defaultColWidth="9.140625" defaultRowHeight="12.75"/>
  <cols>
    <col min="1" max="1" width="12.85546875" customWidth="1"/>
    <col min="2" max="2" width="20.5703125" customWidth="1"/>
    <col min="3" max="3" width="24.7109375" bestFit="1" customWidth="1"/>
    <col min="4" max="4" width="57.42578125" customWidth="1"/>
    <col min="5" max="5" width="43.28515625" customWidth="1"/>
    <col min="6" max="6" width="34.7109375" style="21" customWidth="1"/>
    <col min="7" max="7" width="20" customWidth="1"/>
    <col min="8" max="9" width="17.7109375" customWidth="1"/>
    <col min="10" max="10" width="26.28515625" customWidth="1"/>
    <col min="11" max="11" width="46.140625" customWidth="1"/>
    <col min="12" max="12" width="9.42578125" customWidth="1"/>
    <col min="13" max="14" width="27.85546875" customWidth="1"/>
    <col min="15" max="15" width="36" customWidth="1"/>
    <col min="16" max="16" width="27.85546875" customWidth="1"/>
    <col min="17" max="17" width="23.140625" customWidth="1"/>
    <col min="18" max="18" width="48.28515625" customWidth="1"/>
    <col min="19" max="19" width="15" customWidth="1"/>
    <col min="54" max="54" width="20.5703125" customWidth="1"/>
  </cols>
  <sheetData>
    <row r="1" spans="1:19" ht="30.75" customHeight="1" thickBot="1">
      <c r="A1" s="232"/>
      <c r="B1" s="233"/>
      <c r="C1" s="233"/>
      <c r="D1" s="276"/>
      <c r="E1" s="232"/>
      <c r="F1" s="233"/>
      <c r="G1" s="233"/>
      <c r="H1" s="238" t="s">
        <v>53</v>
      </c>
      <c r="I1" s="240" t="str">
        <f>CAPA!G27</f>
        <v>VOTORANTIM CIMENTOS 
FÁBRICA DE EDEALINA - GO</v>
      </c>
      <c r="J1" s="240"/>
      <c r="K1" s="240"/>
      <c r="L1" s="241"/>
      <c r="M1" s="238" t="s">
        <v>55</v>
      </c>
      <c r="N1" s="244" t="str">
        <f>CAPA!A31</f>
        <v>FÁBRICA DE EDEALINA - GO
PROJETO DETALHADO - MOAGEM DE CIMENTO Z2</v>
      </c>
      <c r="O1" s="245"/>
      <c r="P1" s="246"/>
      <c r="Q1" s="14" t="s">
        <v>58</v>
      </c>
      <c r="R1" s="249" t="s">
        <v>61</v>
      </c>
      <c r="S1" s="250"/>
    </row>
    <row r="2" spans="1:19" ht="30.75" customHeight="1" thickBot="1">
      <c r="A2" s="234"/>
      <c r="B2" s="235"/>
      <c r="C2" s="235"/>
      <c r="D2" s="277"/>
      <c r="E2" s="234"/>
      <c r="F2" s="235"/>
      <c r="G2" s="235"/>
      <c r="H2" s="239"/>
      <c r="I2" s="242"/>
      <c r="J2" s="242"/>
      <c r="K2" s="242"/>
      <c r="L2" s="243"/>
      <c r="M2" s="239"/>
      <c r="N2" s="247"/>
      <c r="O2" s="247"/>
      <c r="P2" s="248"/>
      <c r="Q2" s="15" t="s">
        <v>78</v>
      </c>
      <c r="R2" s="251" t="s">
        <v>26</v>
      </c>
      <c r="S2" s="252"/>
    </row>
    <row r="3" spans="1:19" ht="30.75" customHeight="1" thickBot="1">
      <c r="A3" s="234"/>
      <c r="B3" s="235"/>
      <c r="C3" s="235"/>
      <c r="D3" s="277"/>
      <c r="E3" s="234"/>
      <c r="F3" s="235"/>
      <c r="G3" s="235"/>
      <c r="H3" s="253" t="s">
        <v>54</v>
      </c>
      <c r="I3" s="255" t="s">
        <v>1006</v>
      </c>
      <c r="J3" s="256"/>
      <c r="K3" s="256"/>
      <c r="L3" s="257"/>
      <c r="M3" s="16" t="s">
        <v>57</v>
      </c>
      <c r="N3" s="260" t="str">
        <f>CAPA!J38</f>
        <v>ED-I-Z2000-120</v>
      </c>
      <c r="O3" s="260"/>
      <c r="P3" s="261"/>
      <c r="Q3" s="17" t="s">
        <v>59</v>
      </c>
      <c r="R3" s="16" t="s">
        <v>2</v>
      </c>
      <c r="S3" s="18">
        <f>CAPA!Q24</f>
        <v>5</v>
      </c>
    </row>
    <row r="4" spans="1:19" ht="30.75" customHeight="1" thickBot="1">
      <c r="A4" s="278"/>
      <c r="B4" s="279"/>
      <c r="C4" s="279"/>
      <c r="D4" s="280"/>
      <c r="E4" s="278"/>
      <c r="F4" s="279"/>
      <c r="G4" s="279"/>
      <c r="H4" s="281"/>
      <c r="I4" s="282"/>
      <c r="J4" s="282"/>
      <c r="K4" s="282"/>
      <c r="L4" s="283"/>
      <c r="M4" s="20" t="s">
        <v>56</v>
      </c>
      <c r="N4" s="256" t="str">
        <f>CAPA!K19</f>
        <v>LI-A-20V093E-001</v>
      </c>
      <c r="O4" s="256"/>
      <c r="P4" s="257"/>
      <c r="Q4" s="19"/>
      <c r="R4" s="20" t="s">
        <v>60</v>
      </c>
      <c r="S4" s="28">
        <f>CAPA!K24</f>
        <v>45946</v>
      </c>
    </row>
    <row r="5" spans="1:19" ht="30.75" customHeight="1" thickBot="1">
      <c r="A5" s="29" t="s">
        <v>36</v>
      </c>
      <c r="B5" s="23" t="s">
        <v>130</v>
      </c>
      <c r="C5" s="23" t="s">
        <v>131</v>
      </c>
      <c r="D5" s="46" t="s">
        <v>35</v>
      </c>
      <c r="E5" s="29" t="s">
        <v>37</v>
      </c>
      <c r="F5" s="23" t="s">
        <v>38</v>
      </c>
      <c r="G5" s="23" t="s">
        <v>39</v>
      </c>
      <c r="H5" s="23" t="s">
        <v>112</v>
      </c>
      <c r="I5" s="23" t="s">
        <v>40</v>
      </c>
      <c r="J5" s="23" t="s">
        <v>41</v>
      </c>
      <c r="K5" s="23" t="s">
        <v>42</v>
      </c>
      <c r="L5" s="23" t="s">
        <v>79</v>
      </c>
      <c r="M5" s="23" t="s">
        <v>44</v>
      </c>
      <c r="N5" s="23" t="s">
        <v>381</v>
      </c>
      <c r="O5" s="23" t="s">
        <v>47</v>
      </c>
      <c r="P5" s="23" t="s">
        <v>45</v>
      </c>
      <c r="Q5" s="284" t="s">
        <v>46</v>
      </c>
      <c r="R5" s="284"/>
      <c r="S5" s="30" t="s">
        <v>0</v>
      </c>
    </row>
    <row r="6" spans="1:19" s="41" customFormat="1" ht="45" customHeight="1">
      <c r="A6" s="56">
        <v>1</v>
      </c>
      <c r="B6" s="88" t="s">
        <v>526</v>
      </c>
      <c r="C6" s="37" t="s">
        <v>1</v>
      </c>
      <c r="D6" s="37" t="s">
        <v>527</v>
      </c>
      <c r="E6" s="37" t="s">
        <v>66</v>
      </c>
      <c r="F6" s="38" t="s">
        <v>29</v>
      </c>
      <c r="G6" s="38" t="s">
        <v>48</v>
      </c>
      <c r="H6" s="57" t="s">
        <v>324</v>
      </c>
      <c r="I6" s="57" t="s">
        <v>325</v>
      </c>
      <c r="J6" s="58" t="s">
        <v>421</v>
      </c>
      <c r="K6" s="58" t="s">
        <v>420</v>
      </c>
      <c r="L6" s="59">
        <v>1</v>
      </c>
      <c r="M6" s="58" t="s">
        <v>65</v>
      </c>
      <c r="N6" s="38" t="s">
        <v>906</v>
      </c>
      <c r="O6" s="38" t="s">
        <v>1</v>
      </c>
      <c r="P6" s="32" t="s">
        <v>889</v>
      </c>
      <c r="Q6" s="274" t="s">
        <v>1</v>
      </c>
      <c r="R6" s="274"/>
      <c r="S6" s="49">
        <v>1</v>
      </c>
    </row>
    <row r="7" spans="1:19" s="41" customFormat="1" ht="45" customHeight="1">
      <c r="A7" s="44">
        <f>A6+1</f>
        <v>2</v>
      </c>
      <c r="B7" s="82" t="s">
        <v>528</v>
      </c>
      <c r="C7" s="31" t="s">
        <v>965</v>
      </c>
      <c r="D7" s="31" t="s">
        <v>529</v>
      </c>
      <c r="E7" s="31" t="s">
        <v>66</v>
      </c>
      <c r="F7" s="32" t="s">
        <v>29</v>
      </c>
      <c r="G7" s="32" t="s">
        <v>48</v>
      </c>
      <c r="H7" s="33" t="s">
        <v>1</v>
      </c>
      <c r="I7" s="33" t="s">
        <v>1</v>
      </c>
      <c r="J7" s="34" t="s">
        <v>1048</v>
      </c>
      <c r="K7" s="34" t="s">
        <v>1049</v>
      </c>
      <c r="L7" s="35">
        <v>1</v>
      </c>
      <c r="M7" s="34" t="s">
        <v>52</v>
      </c>
      <c r="N7" s="32" t="s">
        <v>906</v>
      </c>
      <c r="O7" s="32" t="s">
        <v>1</v>
      </c>
      <c r="P7" s="32" t="s">
        <v>1</v>
      </c>
      <c r="Q7" s="269" t="s">
        <v>1</v>
      </c>
      <c r="R7" s="269"/>
      <c r="S7" s="45">
        <v>1</v>
      </c>
    </row>
    <row r="8" spans="1:19" s="41" customFormat="1" ht="45" customHeight="1">
      <c r="A8" s="44">
        <f t="shared" ref="A8:A71" si="0">A7+1</f>
        <v>3</v>
      </c>
      <c r="B8" s="82" t="s">
        <v>939</v>
      </c>
      <c r="C8" s="31" t="s">
        <v>807</v>
      </c>
      <c r="D8" s="31" t="s">
        <v>529</v>
      </c>
      <c r="E8" s="31" t="s">
        <v>926</v>
      </c>
      <c r="F8" s="32" t="s">
        <v>378</v>
      </c>
      <c r="G8" s="32" t="s">
        <v>48</v>
      </c>
      <c r="H8" s="33" t="s">
        <v>1</v>
      </c>
      <c r="I8" s="33" t="s">
        <v>1</v>
      </c>
      <c r="J8" s="34" t="s">
        <v>93</v>
      </c>
      <c r="K8" s="34" t="s">
        <v>1050</v>
      </c>
      <c r="L8" s="35">
        <v>1</v>
      </c>
      <c r="M8" s="34" t="s">
        <v>52</v>
      </c>
      <c r="N8" s="32" t="s">
        <v>906</v>
      </c>
      <c r="O8" s="32" t="s">
        <v>1</v>
      </c>
      <c r="P8" s="32" t="s">
        <v>1</v>
      </c>
      <c r="Q8" s="269" t="s">
        <v>1</v>
      </c>
      <c r="R8" s="269"/>
      <c r="S8" s="45">
        <v>1</v>
      </c>
    </row>
    <row r="9" spans="1:19" s="41" customFormat="1" ht="45" customHeight="1">
      <c r="A9" s="44">
        <f t="shared" si="0"/>
        <v>4</v>
      </c>
      <c r="B9" s="82" t="s">
        <v>530</v>
      </c>
      <c r="C9" s="31" t="s">
        <v>150</v>
      </c>
      <c r="D9" s="31" t="s">
        <v>531</v>
      </c>
      <c r="E9" s="31" t="s">
        <v>924</v>
      </c>
      <c r="F9" s="32" t="s">
        <v>49</v>
      </c>
      <c r="G9" s="32" t="s">
        <v>48</v>
      </c>
      <c r="H9" s="33" t="s">
        <v>1</v>
      </c>
      <c r="I9" s="33" t="s">
        <v>1</v>
      </c>
      <c r="J9" s="34" t="s">
        <v>1051</v>
      </c>
      <c r="K9" s="34" t="s">
        <v>1052</v>
      </c>
      <c r="L9" s="35">
        <v>1</v>
      </c>
      <c r="M9" s="34" t="s">
        <v>52</v>
      </c>
      <c r="N9" s="32" t="s">
        <v>906</v>
      </c>
      <c r="O9" s="32" t="s">
        <v>1</v>
      </c>
      <c r="P9" s="32" t="s">
        <v>1</v>
      </c>
      <c r="Q9" s="269" t="s">
        <v>1</v>
      </c>
      <c r="R9" s="269"/>
      <c r="S9" s="45">
        <v>1</v>
      </c>
    </row>
    <row r="10" spans="1:19" s="41" customFormat="1" ht="45" customHeight="1">
      <c r="A10" s="44">
        <f t="shared" si="0"/>
        <v>5</v>
      </c>
      <c r="B10" s="82" t="s">
        <v>936</v>
      </c>
      <c r="C10" s="31" t="s">
        <v>1</v>
      </c>
      <c r="D10" s="31" t="s">
        <v>529</v>
      </c>
      <c r="E10" s="31" t="s">
        <v>919</v>
      </c>
      <c r="F10" s="32" t="s">
        <v>1</v>
      </c>
      <c r="G10" s="32" t="s">
        <v>1</v>
      </c>
      <c r="H10" s="42" t="s">
        <v>1</v>
      </c>
      <c r="I10" s="42" t="s">
        <v>1</v>
      </c>
      <c r="J10" s="34" t="s">
        <v>1</v>
      </c>
      <c r="K10" s="34" t="s">
        <v>404</v>
      </c>
      <c r="L10" s="43">
        <v>1</v>
      </c>
      <c r="M10" s="34" t="s">
        <v>65</v>
      </c>
      <c r="N10" s="32" t="s">
        <v>1</v>
      </c>
      <c r="O10" s="32" t="s">
        <v>407</v>
      </c>
      <c r="P10" s="32" t="s">
        <v>406</v>
      </c>
      <c r="Q10" s="269" t="s">
        <v>405</v>
      </c>
      <c r="R10" s="269"/>
      <c r="S10" s="45">
        <v>1</v>
      </c>
    </row>
    <row r="11" spans="1:19" s="41" customFormat="1" ht="45" customHeight="1">
      <c r="A11" s="44">
        <f t="shared" si="0"/>
        <v>6</v>
      </c>
      <c r="B11" s="82" t="s">
        <v>544</v>
      </c>
      <c r="C11" s="31" t="s">
        <v>1</v>
      </c>
      <c r="D11" s="31" t="s">
        <v>529</v>
      </c>
      <c r="E11" s="31" t="s">
        <v>925</v>
      </c>
      <c r="F11" s="32" t="s">
        <v>49</v>
      </c>
      <c r="G11" s="32" t="s">
        <v>48</v>
      </c>
      <c r="H11" s="33" t="s">
        <v>1</v>
      </c>
      <c r="I11" s="33" t="s">
        <v>1</v>
      </c>
      <c r="J11" s="34" t="s">
        <v>418</v>
      </c>
      <c r="K11" s="34" t="s">
        <v>419</v>
      </c>
      <c r="L11" s="35">
        <v>1</v>
      </c>
      <c r="M11" s="34" t="s">
        <v>65</v>
      </c>
      <c r="N11" s="32" t="s">
        <v>906</v>
      </c>
      <c r="O11" s="32" t="s">
        <v>1</v>
      </c>
      <c r="P11" s="32" t="s">
        <v>888</v>
      </c>
      <c r="Q11" s="269" t="s">
        <v>1</v>
      </c>
      <c r="R11" s="269"/>
      <c r="S11" s="45">
        <v>1</v>
      </c>
    </row>
    <row r="12" spans="1:19" s="41" customFormat="1" ht="45" customHeight="1">
      <c r="A12" s="44">
        <f t="shared" si="0"/>
        <v>7</v>
      </c>
      <c r="B12" s="82" t="s">
        <v>927</v>
      </c>
      <c r="C12" s="31" t="s">
        <v>1</v>
      </c>
      <c r="D12" s="31" t="s">
        <v>529</v>
      </c>
      <c r="E12" s="31" t="s">
        <v>919</v>
      </c>
      <c r="F12" s="32" t="s">
        <v>1</v>
      </c>
      <c r="G12" s="32" t="s">
        <v>1</v>
      </c>
      <c r="H12" s="42" t="s">
        <v>1</v>
      </c>
      <c r="I12" s="42" t="s">
        <v>1</v>
      </c>
      <c r="J12" s="34" t="s">
        <v>1</v>
      </c>
      <c r="K12" s="34" t="s">
        <v>404</v>
      </c>
      <c r="L12" s="43">
        <v>1</v>
      </c>
      <c r="M12" s="34" t="s">
        <v>65</v>
      </c>
      <c r="N12" s="32" t="s">
        <v>1</v>
      </c>
      <c r="O12" s="32" t="s">
        <v>407</v>
      </c>
      <c r="P12" s="32" t="s">
        <v>406</v>
      </c>
      <c r="Q12" s="269" t="s">
        <v>405</v>
      </c>
      <c r="R12" s="269"/>
      <c r="S12" s="45">
        <v>1</v>
      </c>
    </row>
    <row r="13" spans="1:19" s="41" customFormat="1" ht="45" customHeight="1">
      <c r="A13" s="44">
        <f t="shared" si="0"/>
        <v>8</v>
      </c>
      <c r="B13" s="82" t="s">
        <v>920</v>
      </c>
      <c r="C13" s="31" t="s">
        <v>1</v>
      </c>
      <c r="D13" s="31" t="s">
        <v>529</v>
      </c>
      <c r="E13" s="31" t="s">
        <v>1047</v>
      </c>
      <c r="F13" s="32" t="s">
        <v>49</v>
      </c>
      <c r="G13" s="32" t="s">
        <v>48</v>
      </c>
      <c r="H13" s="33" t="s">
        <v>1</v>
      </c>
      <c r="I13" s="33" t="s">
        <v>1</v>
      </c>
      <c r="J13" s="34" t="s">
        <v>418</v>
      </c>
      <c r="K13" s="34" t="s">
        <v>419</v>
      </c>
      <c r="L13" s="35">
        <v>1</v>
      </c>
      <c r="M13" s="34" t="s">
        <v>65</v>
      </c>
      <c r="N13" s="32" t="s">
        <v>906</v>
      </c>
      <c r="O13" s="32" t="s">
        <v>1</v>
      </c>
      <c r="P13" s="32" t="s">
        <v>888</v>
      </c>
      <c r="Q13" s="269" t="s">
        <v>1</v>
      </c>
      <c r="R13" s="269"/>
      <c r="S13" s="45">
        <v>1</v>
      </c>
    </row>
    <row r="14" spans="1:19" s="41" customFormat="1" ht="45" customHeight="1">
      <c r="A14" s="44">
        <f t="shared" si="0"/>
        <v>9</v>
      </c>
      <c r="B14" s="82" t="s">
        <v>935</v>
      </c>
      <c r="C14" s="31" t="s">
        <v>1</v>
      </c>
      <c r="D14" s="31" t="s">
        <v>529</v>
      </c>
      <c r="E14" s="31" t="s">
        <v>919</v>
      </c>
      <c r="F14" s="32" t="s">
        <v>1</v>
      </c>
      <c r="G14" s="32" t="s">
        <v>1</v>
      </c>
      <c r="H14" s="42" t="s">
        <v>1</v>
      </c>
      <c r="I14" s="42" t="s">
        <v>1</v>
      </c>
      <c r="J14" s="34" t="s">
        <v>1</v>
      </c>
      <c r="K14" s="34" t="s">
        <v>404</v>
      </c>
      <c r="L14" s="43">
        <v>1</v>
      </c>
      <c r="M14" s="34" t="s">
        <v>65</v>
      </c>
      <c r="N14" s="32" t="s">
        <v>1</v>
      </c>
      <c r="O14" s="32" t="s">
        <v>407</v>
      </c>
      <c r="P14" s="32" t="s">
        <v>406</v>
      </c>
      <c r="Q14" s="269" t="s">
        <v>405</v>
      </c>
      <c r="R14" s="269"/>
      <c r="S14" s="45">
        <v>1</v>
      </c>
    </row>
    <row r="15" spans="1:19" s="41" customFormat="1" ht="45" customHeight="1">
      <c r="A15" s="44">
        <f t="shared" si="0"/>
        <v>10</v>
      </c>
      <c r="B15" s="82" t="s">
        <v>543</v>
      </c>
      <c r="C15" s="31" t="s">
        <v>152</v>
      </c>
      <c r="D15" s="31" t="s">
        <v>529</v>
      </c>
      <c r="E15" s="31" t="s">
        <v>1045</v>
      </c>
      <c r="F15" s="32" t="s">
        <v>327</v>
      </c>
      <c r="G15" s="32" t="s">
        <v>48</v>
      </c>
      <c r="H15" s="33" t="s">
        <v>1</v>
      </c>
      <c r="I15" s="33" t="s">
        <v>1</v>
      </c>
      <c r="J15" s="34" t="s">
        <v>1051</v>
      </c>
      <c r="K15" s="34" t="s">
        <v>1135</v>
      </c>
      <c r="L15" s="35">
        <v>1</v>
      </c>
      <c r="M15" s="34" t="s">
        <v>52</v>
      </c>
      <c r="N15" s="32" t="s">
        <v>906</v>
      </c>
      <c r="O15" s="32" t="s">
        <v>1</v>
      </c>
      <c r="P15" s="32" t="s">
        <v>1</v>
      </c>
      <c r="Q15" s="269" t="s">
        <v>1</v>
      </c>
      <c r="R15" s="269"/>
      <c r="S15" s="45">
        <v>1</v>
      </c>
    </row>
    <row r="16" spans="1:19" s="41" customFormat="1" ht="45" customHeight="1">
      <c r="A16" s="44">
        <f t="shared" si="0"/>
        <v>11</v>
      </c>
      <c r="B16" s="82" t="s">
        <v>532</v>
      </c>
      <c r="C16" s="31" t="s">
        <v>1</v>
      </c>
      <c r="D16" s="31" t="s">
        <v>529</v>
      </c>
      <c r="E16" s="31" t="s">
        <v>376</v>
      </c>
      <c r="F16" s="32" t="s">
        <v>91</v>
      </c>
      <c r="G16" s="32" t="s">
        <v>83</v>
      </c>
      <c r="H16" s="33" t="s">
        <v>340</v>
      </c>
      <c r="I16" s="33" t="s">
        <v>92</v>
      </c>
      <c r="J16" s="34" t="s">
        <v>93</v>
      </c>
      <c r="K16" s="34" t="s">
        <v>94</v>
      </c>
      <c r="L16" s="35">
        <v>1</v>
      </c>
      <c r="M16" s="34" t="s">
        <v>65</v>
      </c>
      <c r="N16" s="32" t="s">
        <v>906</v>
      </c>
      <c r="O16" s="32" t="s">
        <v>1</v>
      </c>
      <c r="P16" s="32" t="s">
        <v>898</v>
      </c>
      <c r="Q16" s="269" t="s">
        <v>1</v>
      </c>
      <c r="R16" s="269"/>
      <c r="S16" s="45">
        <v>1</v>
      </c>
    </row>
    <row r="17" spans="1:19" s="41" customFormat="1" ht="45" customHeight="1">
      <c r="A17" s="44">
        <f t="shared" si="0"/>
        <v>12</v>
      </c>
      <c r="B17" s="82" t="s">
        <v>533</v>
      </c>
      <c r="C17" s="31" t="s">
        <v>1</v>
      </c>
      <c r="D17" s="31" t="s">
        <v>529</v>
      </c>
      <c r="E17" s="31" t="s">
        <v>377</v>
      </c>
      <c r="F17" s="32" t="s">
        <v>91</v>
      </c>
      <c r="G17" s="32" t="s">
        <v>83</v>
      </c>
      <c r="H17" s="33" t="s">
        <v>340</v>
      </c>
      <c r="I17" s="33" t="s">
        <v>92</v>
      </c>
      <c r="J17" s="34" t="s">
        <v>93</v>
      </c>
      <c r="K17" s="34" t="s">
        <v>94</v>
      </c>
      <c r="L17" s="35">
        <v>1</v>
      </c>
      <c r="M17" s="34" t="s">
        <v>65</v>
      </c>
      <c r="N17" s="32" t="s">
        <v>906</v>
      </c>
      <c r="O17" s="32" t="s">
        <v>1</v>
      </c>
      <c r="P17" s="32" t="s">
        <v>898</v>
      </c>
      <c r="Q17" s="269" t="s">
        <v>1</v>
      </c>
      <c r="R17" s="269"/>
      <c r="S17" s="45">
        <v>1</v>
      </c>
    </row>
    <row r="18" spans="1:19" s="113" customFormat="1" ht="45" customHeight="1">
      <c r="A18" s="44">
        <f t="shared" si="0"/>
        <v>13</v>
      </c>
      <c r="B18" s="115" t="s">
        <v>1208</v>
      </c>
      <c r="C18" s="115" t="s">
        <v>326</v>
      </c>
      <c r="D18" s="115" t="s">
        <v>529</v>
      </c>
      <c r="E18" s="115" t="s">
        <v>1311</v>
      </c>
      <c r="F18" s="116" t="s">
        <v>49</v>
      </c>
      <c r="G18" s="116" t="s">
        <v>48</v>
      </c>
      <c r="H18" s="120" t="s">
        <v>1</v>
      </c>
      <c r="I18" s="120" t="s">
        <v>1</v>
      </c>
      <c r="J18" s="118" t="s">
        <v>1051</v>
      </c>
      <c r="K18" s="118" t="s">
        <v>1136</v>
      </c>
      <c r="L18" s="121">
        <v>1</v>
      </c>
      <c r="M18" s="118" t="s">
        <v>52</v>
      </c>
      <c r="N18" s="116" t="s">
        <v>906</v>
      </c>
      <c r="O18" s="116" t="s">
        <v>1</v>
      </c>
      <c r="P18" s="116" t="s">
        <v>1</v>
      </c>
      <c r="Q18" s="272" t="s">
        <v>1</v>
      </c>
      <c r="R18" s="272"/>
      <c r="S18" s="119">
        <v>5</v>
      </c>
    </row>
    <row r="19" spans="1:19" s="113" customFormat="1" ht="45" customHeight="1">
      <c r="A19" s="44">
        <f t="shared" si="0"/>
        <v>14</v>
      </c>
      <c r="B19" s="115" t="s">
        <v>1209</v>
      </c>
      <c r="C19" s="115" t="s">
        <v>326</v>
      </c>
      <c r="D19" s="115" t="s">
        <v>529</v>
      </c>
      <c r="E19" s="115" t="s">
        <v>1307</v>
      </c>
      <c r="F19" s="116" t="s">
        <v>49</v>
      </c>
      <c r="G19" s="116" t="s">
        <v>48</v>
      </c>
      <c r="H19" s="120" t="s">
        <v>1</v>
      </c>
      <c r="I19" s="120" t="s">
        <v>1</v>
      </c>
      <c r="J19" s="118" t="s">
        <v>1051</v>
      </c>
      <c r="K19" s="118" t="s">
        <v>1136</v>
      </c>
      <c r="L19" s="121">
        <v>1</v>
      </c>
      <c r="M19" s="118" t="s">
        <v>52</v>
      </c>
      <c r="N19" s="116" t="s">
        <v>906</v>
      </c>
      <c r="O19" s="116" t="s">
        <v>1</v>
      </c>
      <c r="P19" s="116" t="s">
        <v>1</v>
      </c>
      <c r="Q19" s="272" t="s">
        <v>1</v>
      </c>
      <c r="R19" s="272"/>
      <c r="S19" s="119">
        <v>5</v>
      </c>
    </row>
    <row r="20" spans="1:19" s="113" customFormat="1" ht="45" customHeight="1">
      <c r="A20" s="44">
        <f t="shared" si="0"/>
        <v>15</v>
      </c>
      <c r="B20" s="115" t="s">
        <v>1210</v>
      </c>
      <c r="C20" s="115" t="s">
        <v>1145</v>
      </c>
      <c r="D20" s="115" t="s">
        <v>1310</v>
      </c>
      <c r="E20" s="115" t="s">
        <v>1143</v>
      </c>
      <c r="F20" s="116"/>
      <c r="G20" s="116" t="s">
        <v>1144</v>
      </c>
      <c r="H20" s="120"/>
      <c r="I20" s="120"/>
      <c r="J20" s="118" t="s">
        <v>1059</v>
      </c>
      <c r="K20" s="118" t="s">
        <v>414</v>
      </c>
      <c r="L20" s="121">
        <v>1</v>
      </c>
      <c r="M20" s="118" t="s">
        <v>52</v>
      </c>
      <c r="N20" s="116" t="s">
        <v>906</v>
      </c>
      <c r="O20" s="116" t="s">
        <v>1</v>
      </c>
      <c r="P20" s="116" t="s">
        <v>1</v>
      </c>
      <c r="Q20" s="272" t="s">
        <v>1</v>
      </c>
      <c r="R20" s="272"/>
      <c r="S20" s="119">
        <v>5</v>
      </c>
    </row>
    <row r="21" spans="1:19" s="113" customFormat="1" ht="45" customHeight="1">
      <c r="A21" s="44">
        <f t="shared" si="0"/>
        <v>16</v>
      </c>
      <c r="B21" s="115" t="s">
        <v>1211</v>
      </c>
      <c r="C21" s="115" t="s">
        <v>1146</v>
      </c>
      <c r="D21" s="115" t="s">
        <v>1308</v>
      </c>
      <c r="E21" s="115" t="s">
        <v>1143</v>
      </c>
      <c r="F21" s="116"/>
      <c r="G21" s="116" t="s">
        <v>1144</v>
      </c>
      <c r="H21" s="120"/>
      <c r="I21" s="120"/>
      <c r="J21" s="118" t="s">
        <v>1059</v>
      </c>
      <c r="K21" s="118" t="s">
        <v>414</v>
      </c>
      <c r="L21" s="121">
        <v>1</v>
      </c>
      <c r="M21" s="118" t="s">
        <v>52</v>
      </c>
      <c r="N21" s="116" t="s">
        <v>906</v>
      </c>
      <c r="O21" s="116" t="s">
        <v>1</v>
      </c>
      <c r="P21" s="116" t="s">
        <v>1</v>
      </c>
      <c r="Q21" s="272" t="s">
        <v>1</v>
      </c>
      <c r="R21" s="272"/>
      <c r="S21" s="119">
        <v>5</v>
      </c>
    </row>
    <row r="22" spans="1:19" s="113" customFormat="1" ht="45" customHeight="1">
      <c r="A22" s="44">
        <f t="shared" si="0"/>
        <v>17</v>
      </c>
      <c r="B22" s="115" t="s">
        <v>1212</v>
      </c>
      <c r="C22" s="115" t="s">
        <v>1147</v>
      </c>
      <c r="D22" s="115" t="s">
        <v>1309</v>
      </c>
      <c r="E22" s="115" t="s">
        <v>1143</v>
      </c>
      <c r="F22" s="116"/>
      <c r="G22" s="116" t="s">
        <v>1144</v>
      </c>
      <c r="H22" s="120"/>
      <c r="I22" s="120"/>
      <c r="J22" s="118" t="s">
        <v>1059</v>
      </c>
      <c r="K22" s="118" t="s">
        <v>414</v>
      </c>
      <c r="L22" s="121">
        <v>1</v>
      </c>
      <c r="M22" s="118" t="s">
        <v>52</v>
      </c>
      <c r="N22" s="116" t="s">
        <v>906</v>
      </c>
      <c r="O22" s="116" t="s">
        <v>1</v>
      </c>
      <c r="P22" s="116" t="s">
        <v>1</v>
      </c>
      <c r="Q22" s="272" t="s">
        <v>1</v>
      </c>
      <c r="R22" s="272"/>
      <c r="S22" s="119">
        <v>5</v>
      </c>
    </row>
    <row r="23" spans="1:19" s="41" customFormat="1" ht="45" customHeight="1">
      <c r="A23" s="44">
        <f t="shared" si="0"/>
        <v>18</v>
      </c>
      <c r="B23" s="82" t="s">
        <v>521</v>
      </c>
      <c r="C23" s="31" t="s">
        <v>1</v>
      </c>
      <c r="D23" s="31" t="s">
        <v>534</v>
      </c>
      <c r="E23" s="31" t="s">
        <v>66</v>
      </c>
      <c r="F23" s="32" t="s">
        <v>29</v>
      </c>
      <c r="G23" s="32" t="s">
        <v>48</v>
      </c>
      <c r="H23" s="33" t="s">
        <v>324</v>
      </c>
      <c r="I23" s="33" t="s">
        <v>325</v>
      </c>
      <c r="J23" s="34" t="s">
        <v>421</v>
      </c>
      <c r="K23" s="34" t="s">
        <v>420</v>
      </c>
      <c r="L23" s="42">
        <v>1</v>
      </c>
      <c r="M23" s="34" t="s">
        <v>65</v>
      </c>
      <c r="N23" s="32" t="s">
        <v>907</v>
      </c>
      <c r="O23" s="32" t="s">
        <v>1</v>
      </c>
      <c r="P23" s="32" t="s">
        <v>889</v>
      </c>
      <c r="Q23" s="269" t="s">
        <v>1</v>
      </c>
      <c r="R23" s="269"/>
      <c r="S23" s="45">
        <v>1</v>
      </c>
    </row>
    <row r="24" spans="1:19" s="41" customFormat="1" ht="45" customHeight="1">
      <c r="A24" s="44">
        <f t="shared" si="0"/>
        <v>19</v>
      </c>
      <c r="B24" s="82" t="s">
        <v>535</v>
      </c>
      <c r="C24" s="31" t="s">
        <v>1</v>
      </c>
      <c r="D24" s="31" t="s">
        <v>536</v>
      </c>
      <c r="E24" s="31" t="s">
        <v>359</v>
      </c>
      <c r="F24" s="32" t="s">
        <v>49</v>
      </c>
      <c r="G24" s="32" t="s">
        <v>48</v>
      </c>
      <c r="H24" s="33" t="s">
        <v>1</v>
      </c>
      <c r="I24" s="33" t="s">
        <v>1</v>
      </c>
      <c r="J24" s="34" t="s">
        <v>418</v>
      </c>
      <c r="K24" s="34" t="s">
        <v>419</v>
      </c>
      <c r="L24" s="35">
        <v>1</v>
      </c>
      <c r="M24" s="34" t="s">
        <v>65</v>
      </c>
      <c r="N24" s="32" t="s">
        <v>907</v>
      </c>
      <c r="O24" s="32" t="s">
        <v>1</v>
      </c>
      <c r="P24" s="32" t="s">
        <v>888</v>
      </c>
      <c r="Q24" s="269" t="s">
        <v>1</v>
      </c>
      <c r="R24" s="269"/>
      <c r="S24" s="45">
        <v>1</v>
      </c>
    </row>
    <row r="25" spans="1:19" s="41" customFormat="1" ht="45" customHeight="1">
      <c r="A25" s="44">
        <f t="shared" si="0"/>
        <v>20</v>
      </c>
      <c r="B25" s="82" t="s">
        <v>545</v>
      </c>
      <c r="C25" s="31" t="s">
        <v>1</v>
      </c>
      <c r="D25" s="31" t="s">
        <v>536</v>
      </c>
      <c r="E25" s="31" t="s">
        <v>360</v>
      </c>
      <c r="F25" s="32" t="s">
        <v>49</v>
      </c>
      <c r="G25" s="32" t="s">
        <v>48</v>
      </c>
      <c r="H25" s="33" t="s">
        <v>1</v>
      </c>
      <c r="I25" s="33" t="s">
        <v>1</v>
      </c>
      <c r="J25" s="34" t="s">
        <v>418</v>
      </c>
      <c r="K25" s="34" t="s">
        <v>419</v>
      </c>
      <c r="L25" s="35">
        <v>1</v>
      </c>
      <c r="M25" s="34" t="s">
        <v>65</v>
      </c>
      <c r="N25" s="32" t="s">
        <v>907</v>
      </c>
      <c r="O25" s="32" t="s">
        <v>1</v>
      </c>
      <c r="P25" s="32" t="s">
        <v>888</v>
      </c>
      <c r="Q25" s="269" t="s">
        <v>1</v>
      </c>
      <c r="R25" s="269"/>
      <c r="S25" s="45">
        <v>1</v>
      </c>
    </row>
    <row r="26" spans="1:19" s="41" customFormat="1" ht="45" customHeight="1">
      <c r="A26" s="44">
        <f t="shared" si="0"/>
        <v>21</v>
      </c>
      <c r="B26" s="82" t="s">
        <v>539</v>
      </c>
      <c r="C26" s="31" t="s">
        <v>817</v>
      </c>
      <c r="D26" s="31" t="s">
        <v>540</v>
      </c>
      <c r="E26" s="31" t="s">
        <v>66</v>
      </c>
      <c r="F26" s="32" t="s">
        <v>29</v>
      </c>
      <c r="G26" s="32" t="s">
        <v>48</v>
      </c>
      <c r="H26" s="33" t="s">
        <v>1</v>
      </c>
      <c r="I26" s="33" t="s">
        <v>1</v>
      </c>
      <c r="J26" s="34" t="s">
        <v>1048</v>
      </c>
      <c r="K26" s="34" t="s">
        <v>1049</v>
      </c>
      <c r="L26" s="35">
        <v>1</v>
      </c>
      <c r="M26" s="34" t="s">
        <v>52</v>
      </c>
      <c r="N26" s="32" t="s">
        <v>907</v>
      </c>
      <c r="O26" s="32" t="s">
        <v>1</v>
      </c>
      <c r="P26" s="32" t="s">
        <v>1</v>
      </c>
      <c r="Q26" s="269" t="s">
        <v>1</v>
      </c>
      <c r="R26" s="269"/>
      <c r="S26" s="45">
        <v>1</v>
      </c>
    </row>
    <row r="27" spans="1:19" s="41" customFormat="1" ht="45" customHeight="1">
      <c r="A27" s="44">
        <f t="shared" si="0"/>
        <v>22</v>
      </c>
      <c r="B27" s="82" t="s">
        <v>1148</v>
      </c>
      <c r="C27" s="31" t="s">
        <v>969</v>
      </c>
      <c r="D27" s="31" t="s">
        <v>540</v>
      </c>
      <c r="E27" s="31" t="s">
        <v>1044</v>
      </c>
      <c r="F27" s="32" t="s">
        <v>327</v>
      </c>
      <c r="G27" s="32" t="s">
        <v>48</v>
      </c>
      <c r="H27" s="33" t="s">
        <v>1</v>
      </c>
      <c r="I27" s="33" t="s">
        <v>1</v>
      </c>
      <c r="J27" s="34" t="s">
        <v>1051</v>
      </c>
      <c r="K27" s="34" t="s">
        <v>1135</v>
      </c>
      <c r="L27" s="35">
        <v>1</v>
      </c>
      <c r="M27" s="34" t="s">
        <v>52</v>
      </c>
      <c r="N27" s="32" t="s">
        <v>907</v>
      </c>
      <c r="O27" s="32" t="s">
        <v>1</v>
      </c>
      <c r="P27" s="32" t="s">
        <v>1</v>
      </c>
      <c r="Q27" s="269" t="s">
        <v>1</v>
      </c>
      <c r="R27" s="269"/>
      <c r="S27" s="45">
        <v>1</v>
      </c>
    </row>
    <row r="28" spans="1:19" s="41" customFormat="1" ht="45" customHeight="1">
      <c r="A28" s="44">
        <f t="shared" si="0"/>
        <v>23</v>
      </c>
      <c r="B28" s="82" t="s">
        <v>942</v>
      </c>
      <c r="C28" s="31" t="s">
        <v>808</v>
      </c>
      <c r="D28" s="31" t="s">
        <v>540</v>
      </c>
      <c r="E28" s="31" t="s">
        <v>926</v>
      </c>
      <c r="F28" s="32" t="s">
        <v>378</v>
      </c>
      <c r="G28" s="32" t="s">
        <v>48</v>
      </c>
      <c r="H28" s="33" t="s">
        <v>1</v>
      </c>
      <c r="I28" s="33" t="s">
        <v>1</v>
      </c>
      <c r="J28" s="34" t="s">
        <v>93</v>
      </c>
      <c r="K28" s="34" t="s">
        <v>1050</v>
      </c>
      <c r="L28" s="35">
        <v>1</v>
      </c>
      <c r="M28" s="34" t="s">
        <v>52</v>
      </c>
      <c r="N28" s="32" t="s">
        <v>907</v>
      </c>
      <c r="O28" s="32" t="s">
        <v>1</v>
      </c>
      <c r="P28" s="32" t="s">
        <v>1</v>
      </c>
      <c r="Q28" s="269" t="s">
        <v>1</v>
      </c>
      <c r="R28" s="269"/>
      <c r="S28" s="45">
        <v>1</v>
      </c>
    </row>
    <row r="29" spans="1:19" s="41" customFormat="1" ht="45" customHeight="1">
      <c r="A29" s="44">
        <f t="shared" si="0"/>
        <v>24</v>
      </c>
      <c r="B29" s="82" t="s">
        <v>546</v>
      </c>
      <c r="C29" s="31" t="s">
        <v>151</v>
      </c>
      <c r="D29" s="31" t="s">
        <v>540</v>
      </c>
      <c r="E29" s="31" t="s">
        <v>924</v>
      </c>
      <c r="F29" s="32" t="s">
        <v>49</v>
      </c>
      <c r="G29" s="32" t="s">
        <v>48</v>
      </c>
      <c r="H29" s="33" t="s">
        <v>1</v>
      </c>
      <c r="I29" s="33" t="s">
        <v>1</v>
      </c>
      <c r="J29" s="34" t="s">
        <v>1051</v>
      </c>
      <c r="K29" s="34" t="s">
        <v>1052</v>
      </c>
      <c r="L29" s="35">
        <v>1</v>
      </c>
      <c r="M29" s="34" t="s">
        <v>52</v>
      </c>
      <c r="N29" s="32" t="s">
        <v>907</v>
      </c>
      <c r="O29" s="32" t="s">
        <v>1</v>
      </c>
      <c r="P29" s="32" t="s">
        <v>1</v>
      </c>
      <c r="Q29" s="269" t="s">
        <v>1</v>
      </c>
      <c r="R29" s="269"/>
      <c r="S29" s="45">
        <v>1</v>
      </c>
    </row>
    <row r="30" spans="1:19" s="41" customFormat="1" ht="45" customHeight="1">
      <c r="A30" s="44">
        <f t="shared" si="0"/>
        <v>25</v>
      </c>
      <c r="B30" s="82" t="s">
        <v>937</v>
      </c>
      <c r="C30" s="31" t="s">
        <v>1</v>
      </c>
      <c r="D30" s="31" t="s">
        <v>540</v>
      </c>
      <c r="E30" s="31" t="s">
        <v>919</v>
      </c>
      <c r="F30" s="32" t="s">
        <v>1</v>
      </c>
      <c r="G30" s="32" t="s">
        <v>1</v>
      </c>
      <c r="H30" s="42" t="s">
        <v>1</v>
      </c>
      <c r="I30" s="42" t="s">
        <v>1</v>
      </c>
      <c r="J30" s="34" t="s">
        <v>1</v>
      </c>
      <c r="K30" s="34" t="s">
        <v>404</v>
      </c>
      <c r="L30" s="43">
        <v>1</v>
      </c>
      <c r="M30" s="34" t="s">
        <v>65</v>
      </c>
      <c r="N30" s="32" t="s">
        <v>1</v>
      </c>
      <c r="O30" s="32" t="s">
        <v>407</v>
      </c>
      <c r="P30" s="32" t="s">
        <v>406</v>
      </c>
      <c r="Q30" s="269" t="s">
        <v>405</v>
      </c>
      <c r="R30" s="269"/>
      <c r="S30" s="45">
        <v>1</v>
      </c>
    </row>
    <row r="31" spans="1:19" s="41" customFormat="1" ht="45" customHeight="1">
      <c r="A31" s="44">
        <f t="shared" si="0"/>
        <v>26</v>
      </c>
      <c r="B31" s="82" t="s">
        <v>549</v>
      </c>
      <c r="C31" s="31" t="s">
        <v>1</v>
      </c>
      <c r="D31" s="31" t="s">
        <v>540</v>
      </c>
      <c r="E31" s="31" t="s">
        <v>925</v>
      </c>
      <c r="F31" s="32" t="s">
        <v>49</v>
      </c>
      <c r="G31" s="32" t="s">
        <v>48</v>
      </c>
      <c r="H31" s="33" t="s">
        <v>1</v>
      </c>
      <c r="I31" s="33" t="s">
        <v>1</v>
      </c>
      <c r="J31" s="34" t="s">
        <v>418</v>
      </c>
      <c r="K31" s="34" t="s">
        <v>419</v>
      </c>
      <c r="L31" s="35">
        <v>1</v>
      </c>
      <c r="M31" s="34" t="s">
        <v>65</v>
      </c>
      <c r="N31" s="32" t="s">
        <v>907</v>
      </c>
      <c r="O31" s="32" t="s">
        <v>1</v>
      </c>
      <c r="P31" s="32" t="s">
        <v>888</v>
      </c>
      <c r="Q31" s="269" t="s">
        <v>1</v>
      </c>
      <c r="R31" s="269"/>
      <c r="S31" s="45">
        <v>1</v>
      </c>
    </row>
    <row r="32" spans="1:19" s="41" customFormat="1" ht="45" customHeight="1">
      <c r="A32" s="44">
        <f t="shared" si="0"/>
        <v>27</v>
      </c>
      <c r="B32" s="82" t="s">
        <v>928</v>
      </c>
      <c r="C32" s="31" t="s">
        <v>1</v>
      </c>
      <c r="D32" s="31" t="s">
        <v>540</v>
      </c>
      <c r="E32" s="31" t="s">
        <v>919</v>
      </c>
      <c r="F32" s="32" t="s">
        <v>1</v>
      </c>
      <c r="G32" s="32" t="s">
        <v>1</v>
      </c>
      <c r="H32" s="42" t="s">
        <v>1</v>
      </c>
      <c r="I32" s="42" t="s">
        <v>1</v>
      </c>
      <c r="J32" s="34" t="s">
        <v>1</v>
      </c>
      <c r="K32" s="34" t="s">
        <v>404</v>
      </c>
      <c r="L32" s="43">
        <v>1</v>
      </c>
      <c r="M32" s="34" t="s">
        <v>65</v>
      </c>
      <c r="N32" s="32" t="s">
        <v>1</v>
      </c>
      <c r="O32" s="32" t="s">
        <v>407</v>
      </c>
      <c r="P32" s="32" t="s">
        <v>406</v>
      </c>
      <c r="Q32" s="269" t="s">
        <v>405</v>
      </c>
      <c r="R32" s="269"/>
      <c r="S32" s="45">
        <v>1</v>
      </c>
    </row>
    <row r="33" spans="1:19" s="41" customFormat="1" ht="45" customHeight="1">
      <c r="A33" s="44">
        <f t="shared" si="0"/>
        <v>28</v>
      </c>
      <c r="B33" s="82" t="s">
        <v>921</v>
      </c>
      <c r="C33" s="31" t="s">
        <v>1</v>
      </c>
      <c r="D33" s="31" t="s">
        <v>540</v>
      </c>
      <c r="E33" s="31" t="s">
        <v>1047</v>
      </c>
      <c r="F33" s="32" t="s">
        <v>49</v>
      </c>
      <c r="G33" s="32" t="s">
        <v>48</v>
      </c>
      <c r="H33" s="33" t="s">
        <v>1</v>
      </c>
      <c r="I33" s="33" t="s">
        <v>1</v>
      </c>
      <c r="J33" s="34" t="s">
        <v>418</v>
      </c>
      <c r="K33" s="34" t="s">
        <v>419</v>
      </c>
      <c r="L33" s="35">
        <v>1</v>
      </c>
      <c r="M33" s="34" t="s">
        <v>65</v>
      </c>
      <c r="N33" s="32" t="s">
        <v>907</v>
      </c>
      <c r="O33" s="32" t="s">
        <v>1</v>
      </c>
      <c r="P33" s="32" t="s">
        <v>888</v>
      </c>
      <c r="Q33" s="269" t="s">
        <v>1</v>
      </c>
      <c r="R33" s="269"/>
      <c r="S33" s="45">
        <v>1</v>
      </c>
    </row>
    <row r="34" spans="1:19" s="41" customFormat="1" ht="45" customHeight="1">
      <c r="A34" s="44">
        <f t="shared" si="0"/>
        <v>29</v>
      </c>
      <c r="B34" s="82" t="s">
        <v>938</v>
      </c>
      <c r="C34" s="31" t="s">
        <v>1</v>
      </c>
      <c r="D34" s="31" t="s">
        <v>540</v>
      </c>
      <c r="E34" s="31" t="s">
        <v>919</v>
      </c>
      <c r="F34" s="32" t="s">
        <v>1</v>
      </c>
      <c r="G34" s="32" t="s">
        <v>1</v>
      </c>
      <c r="H34" s="42" t="s">
        <v>1</v>
      </c>
      <c r="I34" s="42" t="s">
        <v>1</v>
      </c>
      <c r="J34" s="34" t="s">
        <v>1</v>
      </c>
      <c r="K34" s="34" t="s">
        <v>404</v>
      </c>
      <c r="L34" s="43">
        <v>1</v>
      </c>
      <c r="M34" s="34" t="s">
        <v>65</v>
      </c>
      <c r="N34" s="32" t="s">
        <v>1</v>
      </c>
      <c r="O34" s="32" t="s">
        <v>407</v>
      </c>
      <c r="P34" s="32" t="s">
        <v>406</v>
      </c>
      <c r="Q34" s="269" t="s">
        <v>405</v>
      </c>
      <c r="R34" s="269"/>
      <c r="S34" s="45">
        <v>1</v>
      </c>
    </row>
    <row r="35" spans="1:19" s="41" customFormat="1" ht="45" customHeight="1">
      <c r="A35" s="44">
        <f t="shared" si="0"/>
        <v>30</v>
      </c>
      <c r="B35" s="82" t="s">
        <v>547</v>
      </c>
      <c r="C35" s="31" t="s">
        <v>1</v>
      </c>
      <c r="D35" s="31" t="s">
        <v>540</v>
      </c>
      <c r="E35" s="31" t="s">
        <v>376</v>
      </c>
      <c r="F35" s="32" t="s">
        <v>91</v>
      </c>
      <c r="G35" s="32" t="s">
        <v>83</v>
      </c>
      <c r="H35" s="33" t="s">
        <v>340</v>
      </c>
      <c r="I35" s="33" t="s">
        <v>92</v>
      </c>
      <c r="J35" s="34" t="s">
        <v>93</v>
      </c>
      <c r="K35" s="34" t="s">
        <v>94</v>
      </c>
      <c r="L35" s="35">
        <v>1</v>
      </c>
      <c r="M35" s="34" t="s">
        <v>65</v>
      </c>
      <c r="N35" s="32" t="s">
        <v>907</v>
      </c>
      <c r="O35" s="32" t="s">
        <v>1</v>
      </c>
      <c r="P35" s="32" t="s">
        <v>898</v>
      </c>
      <c r="Q35" s="269" t="s">
        <v>1</v>
      </c>
      <c r="R35" s="269"/>
      <c r="S35" s="45">
        <v>1</v>
      </c>
    </row>
    <row r="36" spans="1:19" s="41" customFormat="1" ht="45" customHeight="1">
      <c r="A36" s="44">
        <f t="shared" si="0"/>
        <v>31</v>
      </c>
      <c r="B36" s="82" t="s">
        <v>548</v>
      </c>
      <c r="C36" s="31" t="s">
        <v>1</v>
      </c>
      <c r="D36" s="31" t="s">
        <v>540</v>
      </c>
      <c r="E36" s="31" t="s">
        <v>377</v>
      </c>
      <c r="F36" s="32" t="s">
        <v>91</v>
      </c>
      <c r="G36" s="32" t="s">
        <v>83</v>
      </c>
      <c r="H36" s="33" t="s">
        <v>340</v>
      </c>
      <c r="I36" s="33" t="s">
        <v>92</v>
      </c>
      <c r="J36" s="34" t="s">
        <v>93</v>
      </c>
      <c r="K36" s="34" t="s">
        <v>94</v>
      </c>
      <c r="L36" s="35">
        <v>1</v>
      </c>
      <c r="M36" s="34" t="s">
        <v>65</v>
      </c>
      <c r="N36" s="32" t="s">
        <v>907</v>
      </c>
      <c r="O36" s="32" t="s">
        <v>1</v>
      </c>
      <c r="P36" s="32" t="s">
        <v>898</v>
      </c>
      <c r="Q36" s="269" t="s">
        <v>1</v>
      </c>
      <c r="R36" s="269"/>
      <c r="S36" s="45">
        <v>1</v>
      </c>
    </row>
    <row r="37" spans="1:19" s="113" customFormat="1" ht="45" customHeight="1">
      <c r="A37" s="44">
        <f t="shared" si="0"/>
        <v>32</v>
      </c>
      <c r="B37" s="115" t="s">
        <v>1149</v>
      </c>
      <c r="C37" s="115" t="s">
        <v>386</v>
      </c>
      <c r="D37" s="115" t="s">
        <v>540</v>
      </c>
      <c r="E37" s="115" t="s">
        <v>1312</v>
      </c>
      <c r="F37" s="116" t="s">
        <v>49</v>
      </c>
      <c r="G37" s="116" t="s">
        <v>48</v>
      </c>
      <c r="H37" s="120" t="s">
        <v>1</v>
      </c>
      <c r="I37" s="120" t="s">
        <v>1</v>
      </c>
      <c r="J37" s="118" t="s">
        <v>1051</v>
      </c>
      <c r="K37" s="118" t="s">
        <v>1136</v>
      </c>
      <c r="L37" s="121">
        <v>1</v>
      </c>
      <c r="M37" s="118" t="s">
        <v>52</v>
      </c>
      <c r="N37" s="116" t="s">
        <v>907</v>
      </c>
      <c r="O37" s="116" t="s">
        <v>1</v>
      </c>
      <c r="P37" s="116" t="s">
        <v>1</v>
      </c>
      <c r="Q37" s="272" t="s">
        <v>1</v>
      </c>
      <c r="R37" s="272"/>
      <c r="S37" s="119">
        <v>5</v>
      </c>
    </row>
    <row r="38" spans="1:19" s="113" customFormat="1" ht="45" customHeight="1">
      <c r="A38" s="44">
        <f t="shared" si="0"/>
        <v>33</v>
      </c>
      <c r="B38" s="115" t="s">
        <v>1150</v>
      </c>
      <c r="C38" s="115" t="s">
        <v>386</v>
      </c>
      <c r="D38" s="115" t="s">
        <v>540</v>
      </c>
      <c r="E38" s="115" t="s">
        <v>1307</v>
      </c>
      <c r="F38" s="116" t="s">
        <v>49</v>
      </c>
      <c r="G38" s="116" t="s">
        <v>48</v>
      </c>
      <c r="H38" s="120" t="s">
        <v>1</v>
      </c>
      <c r="I38" s="120" t="s">
        <v>1</v>
      </c>
      <c r="J38" s="118" t="s">
        <v>1051</v>
      </c>
      <c r="K38" s="118" t="s">
        <v>1136</v>
      </c>
      <c r="L38" s="121">
        <v>1</v>
      </c>
      <c r="M38" s="118" t="s">
        <v>52</v>
      </c>
      <c r="N38" s="116" t="s">
        <v>907</v>
      </c>
      <c r="O38" s="116" t="s">
        <v>1</v>
      </c>
      <c r="P38" s="116" t="s">
        <v>1</v>
      </c>
      <c r="Q38" s="272" t="s">
        <v>1</v>
      </c>
      <c r="R38" s="272"/>
      <c r="S38" s="119">
        <v>5</v>
      </c>
    </row>
    <row r="39" spans="1:19" s="41" customFormat="1" ht="45" customHeight="1">
      <c r="A39" s="44">
        <f t="shared" si="0"/>
        <v>34</v>
      </c>
      <c r="B39" s="82" t="s">
        <v>537</v>
      </c>
      <c r="C39" s="31" t="s">
        <v>1</v>
      </c>
      <c r="D39" s="31" t="s">
        <v>538</v>
      </c>
      <c r="E39" s="31" t="s">
        <v>66</v>
      </c>
      <c r="F39" s="32" t="s">
        <v>29</v>
      </c>
      <c r="G39" s="32" t="s">
        <v>48</v>
      </c>
      <c r="H39" s="33" t="s">
        <v>324</v>
      </c>
      <c r="I39" s="33" t="s">
        <v>325</v>
      </c>
      <c r="J39" s="34" t="s">
        <v>421</v>
      </c>
      <c r="K39" s="34" t="s">
        <v>420</v>
      </c>
      <c r="L39" s="35">
        <v>1</v>
      </c>
      <c r="M39" s="34" t="s">
        <v>65</v>
      </c>
      <c r="N39" s="32" t="s">
        <v>907</v>
      </c>
      <c r="O39" s="32" t="s">
        <v>1</v>
      </c>
      <c r="P39" s="32" t="s">
        <v>889</v>
      </c>
      <c r="Q39" s="269"/>
      <c r="R39" s="269"/>
      <c r="S39" s="45">
        <v>1</v>
      </c>
    </row>
    <row r="40" spans="1:19" s="41" customFormat="1" ht="45" customHeight="1">
      <c r="A40" s="44">
        <f t="shared" si="0"/>
        <v>35</v>
      </c>
      <c r="B40" s="82" t="s">
        <v>956</v>
      </c>
      <c r="C40" s="31" t="s">
        <v>243</v>
      </c>
      <c r="D40" s="31" t="s">
        <v>541</v>
      </c>
      <c r="E40" s="31" t="s">
        <v>64</v>
      </c>
      <c r="F40" s="32" t="s">
        <v>49</v>
      </c>
      <c r="G40" s="32" t="s">
        <v>48</v>
      </c>
      <c r="H40" s="42" t="s">
        <v>1</v>
      </c>
      <c r="I40" s="42" t="s">
        <v>1</v>
      </c>
      <c r="J40" s="34" t="s">
        <v>1051</v>
      </c>
      <c r="K40" s="34" t="s">
        <v>1053</v>
      </c>
      <c r="L40" s="43">
        <v>1</v>
      </c>
      <c r="M40" s="34" t="s">
        <v>52</v>
      </c>
      <c r="N40" s="32" t="s">
        <v>904</v>
      </c>
      <c r="O40" s="32" t="s">
        <v>1</v>
      </c>
      <c r="P40" s="32" t="s">
        <v>1</v>
      </c>
      <c r="Q40" s="269" t="s">
        <v>1</v>
      </c>
      <c r="R40" s="269"/>
      <c r="S40" s="45">
        <v>1</v>
      </c>
    </row>
    <row r="41" spans="1:19" s="41" customFormat="1" ht="45" customHeight="1">
      <c r="A41" s="44">
        <f t="shared" si="0"/>
        <v>36</v>
      </c>
      <c r="B41" s="82" t="s">
        <v>957</v>
      </c>
      <c r="C41" s="31" t="s">
        <v>1</v>
      </c>
      <c r="D41" s="31" t="s">
        <v>541</v>
      </c>
      <c r="E41" s="31" t="s">
        <v>919</v>
      </c>
      <c r="F41" s="32" t="s">
        <v>1</v>
      </c>
      <c r="G41" s="32" t="s">
        <v>1</v>
      </c>
      <c r="H41" s="42" t="s">
        <v>1</v>
      </c>
      <c r="I41" s="42" t="s">
        <v>1</v>
      </c>
      <c r="J41" s="34" t="s">
        <v>1</v>
      </c>
      <c r="K41" s="34" t="s">
        <v>404</v>
      </c>
      <c r="L41" s="43">
        <v>1</v>
      </c>
      <c r="M41" s="34" t="s">
        <v>65</v>
      </c>
      <c r="N41" s="32" t="s">
        <v>1</v>
      </c>
      <c r="O41" s="32" t="s">
        <v>407</v>
      </c>
      <c r="P41" s="32" t="s">
        <v>406</v>
      </c>
      <c r="Q41" s="269" t="s">
        <v>405</v>
      </c>
      <c r="R41" s="269"/>
      <c r="S41" s="45">
        <v>1</v>
      </c>
    </row>
    <row r="42" spans="1:19" s="41" customFormat="1" ht="45" customHeight="1">
      <c r="A42" s="44">
        <f t="shared" si="0"/>
        <v>37</v>
      </c>
      <c r="B42" s="82" t="s">
        <v>945</v>
      </c>
      <c r="C42" s="31" t="s">
        <v>239</v>
      </c>
      <c r="D42" s="31" t="s">
        <v>542</v>
      </c>
      <c r="E42" s="31" t="s">
        <v>64</v>
      </c>
      <c r="F42" s="32" t="s">
        <v>49</v>
      </c>
      <c r="G42" s="32" t="s">
        <v>48</v>
      </c>
      <c r="H42" s="42" t="s">
        <v>1</v>
      </c>
      <c r="I42" s="42" t="s">
        <v>1</v>
      </c>
      <c r="J42" s="34" t="s">
        <v>1051</v>
      </c>
      <c r="K42" s="34" t="s">
        <v>1053</v>
      </c>
      <c r="L42" s="43">
        <v>1</v>
      </c>
      <c r="M42" s="34" t="s">
        <v>52</v>
      </c>
      <c r="N42" s="32" t="s">
        <v>904</v>
      </c>
      <c r="O42" s="32" t="s">
        <v>1</v>
      </c>
      <c r="P42" s="32" t="s">
        <v>1</v>
      </c>
      <c r="Q42" s="269" t="s">
        <v>1</v>
      </c>
      <c r="R42" s="269"/>
      <c r="S42" s="45">
        <v>1</v>
      </c>
    </row>
    <row r="43" spans="1:19" s="41" customFormat="1" ht="45" customHeight="1">
      <c r="A43" s="44">
        <f t="shared" si="0"/>
        <v>38</v>
      </c>
      <c r="B43" s="82" t="s">
        <v>958</v>
      </c>
      <c r="C43" s="31" t="s">
        <v>1</v>
      </c>
      <c r="D43" s="31" t="s">
        <v>542</v>
      </c>
      <c r="E43" s="31" t="s">
        <v>919</v>
      </c>
      <c r="F43" s="32" t="s">
        <v>1</v>
      </c>
      <c r="G43" s="32" t="s">
        <v>1</v>
      </c>
      <c r="H43" s="42" t="s">
        <v>1</v>
      </c>
      <c r="I43" s="42" t="s">
        <v>1</v>
      </c>
      <c r="J43" s="34" t="s">
        <v>1</v>
      </c>
      <c r="K43" s="34" t="s">
        <v>404</v>
      </c>
      <c r="L43" s="43">
        <v>1</v>
      </c>
      <c r="M43" s="34" t="s">
        <v>65</v>
      </c>
      <c r="N43" s="32" t="s">
        <v>1</v>
      </c>
      <c r="O43" s="32" t="s">
        <v>407</v>
      </c>
      <c r="P43" s="32" t="s">
        <v>406</v>
      </c>
      <c r="Q43" s="269" t="s">
        <v>405</v>
      </c>
      <c r="R43" s="269"/>
      <c r="S43" s="45">
        <v>1</v>
      </c>
    </row>
    <row r="44" spans="1:19" s="41" customFormat="1" ht="45" customHeight="1">
      <c r="A44" s="44">
        <f t="shared" si="0"/>
        <v>39</v>
      </c>
      <c r="B44" s="82" t="s">
        <v>550</v>
      </c>
      <c r="C44" s="31" t="s">
        <v>809</v>
      </c>
      <c r="D44" s="31" t="s">
        <v>551</v>
      </c>
      <c r="E44" s="31" t="s">
        <v>248</v>
      </c>
      <c r="F44" s="32" t="s">
        <v>82</v>
      </c>
      <c r="G44" s="32" t="s">
        <v>83</v>
      </c>
      <c r="H44" s="33" t="s">
        <v>452</v>
      </c>
      <c r="I44" s="33" t="s">
        <v>453</v>
      </c>
      <c r="J44" s="34" t="s">
        <v>1054</v>
      </c>
      <c r="K44" s="34" t="s">
        <v>1055</v>
      </c>
      <c r="L44" s="35">
        <v>1</v>
      </c>
      <c r="M44" s="34" t="s">
        <v>52</v>
      </c>
      <c r="N44" s="32" t="s">
        <v>903</v>
      </c>
      <c r="O44" s="32" t="s">
        <v>1</v>
      </c>
      <c r="P44" s="32" t="s">
        <v>1</v>
      </c>
      <c r="Q44" s="269" t="s">
        <v>1</v>
      </c>
      <c r="R44" s="269"/>
      <c r="S44" s="45">
        <v>1</v>
      </c>
    </row>
    <row r="45" spans="1:19" s="41" customFormat="1" ht="45" customHeight="1">
      <c r="A45" s="44">
        <f t="shared" si="0"/>
        <v>40</v>
      </c>
      <c r="B45" s="82" t="s">
        <v>552</v>
      </c>
      <c r="C45" s="31" t="s">
        <v>810</v>
      </c>
      <c r="D45" s="31" t="s">
        <v>551</v>
      </c>
      <c r="E45" s="31" t="s">
        <v>248</v>
      </c>
      <c r="F45" s="32" t="s">
        <v>82</v>
      </c>
      <c r="G45" s="32" t="s">
        <v>83</v>
      </c>
      <c r="H45" s="33" t="s">
        <v>452</v>
      </c>
      <c r="I45" s="33" t="s">
        <v>453</v>
      </c>
      <c r="J45" s="34" t="s">
        <v>1054</v>
      </c>
      <c r="K45" s="34" t="s">
        <v>1056</v>
      </c>
      <c r="L45" s="35">
        <v>1</v>
      </c>
      <c r="M45" s="34" t="s">
        <v>52</v>
      </c>
      <c r="N45" s="32" t="s">
        <v>903</v>
      </c>
      <c r="O45" s="32" t="s">
        <v>1</v>
      </c>
      <c r="P45" s="32" t="s">
        <v>1</v>
      </c>
      <c r="Q45" s="269" t="s">
        <v>1</v>
      </c>
      <c r="R45" s="269"/>
      <c r="S45" s="45">
        <v>1</v>
      </c>
    </row>
    <row r="46" spans="1:19" s="41" customFormat="1" ht="45" customHeight="1">
      <c r="A46" s="44">
        <f t="shared" si="0"/>
        <v>41</v>
      </c>
      <c r="B46" s="82" t="s">
        <v>553</v>
      </c>
      <c r="C46" s="31" t="s">
        <v>153</v>
      </c>
      <c r="D46" s="31" t="s">
        <v>551</v>
      </c>
      <c r="E46" s="31" t="s">
        <v>247</v>
      </c>
      <c r="F46" s="32" t="s">
        <v>415</v>
      </c>
      <c r="G46" s="32" t="s">
        <v>48</v>
      </c>
      <c r="H46" s="33" t="s">
        <v>1</v>
      </c>
      <c r="I46" s="33" t="s">
        <v>1</v>
      </c>
      <c r="J46" s="268" t="s">
        <v>1057</v>
      </c>
      <c r="K46" s="268" t="s">
        <v>1058</v>
      </c>
      <c r="L46" s="270">
        <v>1</v>
      </c>
      <c r="M46" s="268" t="s">
        <v>52</v>
      </c>
      <c r="N46" s="271" t="s">
        <v>903</v>
      </c>
      <c r="O46" s="271" t="s">
        <v>1</v>
      </c>
      <c r="P46" s="271" t="s">
        <v>1</v>
      </c>
      <c r="Q46" s="269" t="s">
        <v>1236</v>
      </c>
      <c r="R46" s="269"/>
      <c r="S46" s="273">
        <v>1</v>
      </c>
    </row>
    <row r="47" spans="1:19" s="41" customFormat="1" ht="45" customHeight="1">
      <c r="A47" s="44">
        <f t="shared" si="0"/>
        <v>42</v>
      </c>
      <c r="B47" s="82" t="s">
        <v>554</v>
      </c>
      <c r="C47" s="31" t="s">
        <v>390</v>
      </c>
      <c r="D47" s="31" t="s">
        <v>551</v>
      </c>
      <c r="E47" s="31" t="s">
        <v>246</v>
      </c>
      <c r="F47" s="32" t="s">
        <v>415</v>
      </c>
      <c r="G47" s="32" t="s">
        <v>48</v>
      </c>
      <c r="H47" s="33" t="s">
        <v>1</v>
      </c>
      <c r="I47" s="33" t="s">
        <v>1</v>
      </c>
      <c r="J47" s="268"/>
      <c r="K47" s="268"/>
      <c r="L47" s="270"/>
      <c r="M47" s="268"/>
      <c r="N47" s="271"/>
      <c r="O47" s="271"/>
      <c r="P47" s="271"/>
      <c r="Q47" s="269"/>
      <c r="R47" s="269"/>
      <c r="S47" s="273"/>
    </row>
    <row r="48" spans="1:19" s="41" customFormat="1" ht="45" customHeight="1">
      <c r="A48" s="44">
        <f t="shared" si="0"/>
        <v>43</v>
      </c>
      <c r="B48" s="82" t="s">
        <v>555</v>
      </c>
      <c r="C48" s="31" t="s">
        <v>391</v>
      </c>
      <c r="D48" s="31" t="s">
        <v>551</v>
      </c>
      <c r="E48" s="31" t="s">
        <v>444</v>
      </c>
      <c r="F48" s="32" t="s">
        <v>415</v>
      </c>
      <c r="G48" s="32" t="s">
        <v>48</v>
      </c>
      <c r="H48" s="33" t="s">
        <v>1</v>
      </c>
      <c r="I48" s="33" t="s">
        <v>1</v>
      </c>
      <c r="J48" s="268"/>
      <c r="K48" s="268"/>
      <c r="L48" s="270"/>
      <c r="M48" s="268"/>
      <c r="N48" s="271"/>
      <c r="O48" s="271"/>
      <c r="P48" s="271"/>
      <c r="Q48" s="269"/>
      <c r="R48" s="269"/>
      <c r="S48" s="273"/>
    </row>
    <row r="49" spans="1:20" s="41" customFormat="1" ht="45" customHeight="1">
      <c r="A49" s="44">
        <f t="shared" si="0"/>
        <v>44</v>
      </c>
      <c r="B49" s="82" t="s">
        <v>556</v>
      </c>
      <c r="C49" s="31" t="s">
        <v>1</v>
      </c>
      <c r="D49" s="31" t="s">
        <v>551</v>
      </c>
      <c r="E49" s="31" t="s">
        <v>123</v>
      </c>
      <c r="F49" s="32" t="s">
        <v>27</v>
      </c>
      <c r="G49" s="32" t="s">
        <v>48</v>
      </c>
      <c r="H49" s="33" t="s">
        <v>1</v>
      </c>
      <c r="I49" s="33" t="s">
        <v>1</v>
      </c>
      <c r="J49" s="34" t="s">
        <v>418</v>
      </c>
      <c r="K49" s="34" t="s">
        <v>1234</v>
      </c>
      <c r="L49" s="35">
        <v>1</v>
      </c>
      <c r="M49" s="34" t="s">
        <v>65</v>
      </c>
      <c r="N49" s="32" t="s">
        <v>903</v>
      </c>
      <c r="O49" s="32" t="s">
        <v>1</v>
      </c>
      <c r="P49" s="32" t="s">
        <v>1245</v>
      </c>
      <c r="Q49" s="269" t="s">
        <v>1</v>
      </c>
      <c r="R49" s="269"/>
      <c r="S49" s="45">
        <v>1</v>
      </c>
    </row>
    <row r="50" spans="1:20" s="41" customFormat="1" ht="45" customHeight="1">
      <c r="A50" s="44">
        <f t="shared" si="0"/>
        <v>45</v>
      </c>
      <c r="B50" s="82" t="s">
        <v>1040</v>
      </c>
      <c r="C50" s="31" t="s">
        <v>1</v>
      </c>
      <c r="D50" s="31" t="s">
        <v>551</v>
      </c>
      <c r="E50" s="31" t="s">
        <v>1037</v>
      </c>
      <c r="F50" s="32" t="s">
        <v>1038</v>
      </c>
      <c r="G50" s="32" t="s">
        <v>83</v>
      </c>
      <c r="H50" s="33" t="s">
        <v>972</v>
      </c>
      <c r="I50" s="33" t="s">
        <v>1039</v>
      </c>
      <c r="J50" s="34" t="s">
        <v>1059</v>
      </c>
      <c r="K50" s="34" t="s">
        <v>1060</v>
      </c>
      <c r="L50" s="35">
        <v>1</v>
      </c>
      <c r="M50" s="34" t="s">
        <v>52</v>
      </c>
      <c r="N50" s="32" t="s">
        <v>903</v>
      </c>
      <c r="O50" s="32" t="s">
        <v>1</v>
      </c>
      <c r="P50" s="32" t="s">
        <v>1</v>
      </c>
      <c r="Q50" s="269" t="s">
        <v>1</v>
      </c>
      <c r="R50" s="269"/>
      <c r="S50" s="45">
        <v>1</v>
      </c>
    </row>
    <row r="51" spans="1:20" s="41" customFormat="1" ht="45" customHeight="1">
      <c r="A51" s="44">
        <f t="shared" si="0"/>
        <v>46</v>
      </c>
      <c r="B51" s="82" t="s">
        <v>1041</v>
      </c>
      <c r="C51" s="31" t="s">
        <v>1</v>
      </c>
      <c r="D51" s="31" t="s">
        <v>551</v>
      </c>
      <c r="E51" s="31" t="s">
        <v>1037</v>
      </c>
      <c r="F51" s="32" t="s">
        <v>1038</v>
      </c>
      <c r="G51" s="32" t="s">
        <v>83</v>
      </c>
      <c r="H51" s="33" t="s">
        <v>972</v>
      </c>
      <c r="I51" s="33" t="s">
        <v>1039</v>
      </c>
      <c r="J51" s="34" t="s">
        <v>1059</v>
      </c>
      <c r="K51" s="34" t="s">
        <v>1061</v>
      </c>
      <c r="L51" s="35">
        <v>1</v>
      </c>
      <c r="M51" s="34" t="s">
        <v>52</v>
      </c>
      <c r="N51" s="32" t="s">
        <v>903</v>
      </c>
      <c r="O51" s="32" t="s">
        <v>1</v>
      </c>
      <c r="P51" s="32" t="s">
        <v>1</v>
      </c>
      <c r="Q51" s="269" t="s">
        <v>1</v>
      </c>
      <c r="R51" s="269"/>
      <c r="S51" s="45">
        <v>1</v>
      </c>
    </row>
    <row r="52" spans="1:20" s="41" customFormat="1" ht="45" customHeight="1">
      <c r="A52" s="44">
        <f t="shared" si="0"/>
        <v>47</v>
      </c>
      <c r="B52" s="82" t="s">
        <v>1042</v>
      </c>
      <c r="C52" s="31" t="s">
        <v>1</v>
      </c>
      <c r="D52" s="31" t="s">
        <v>551</v>
      </c>
      <c r="E52" s="31" t="s">
        <v>1037</v>
      </c>
      <c r="F52" s="32" t="s">
        <v>1038</v>
      </c>
      <c r="G52" s="32" t="s">
        <v>83</v>
      </c>
      <c r="H52" s="33" t="s">
        <v>972</v>
      </c>
      <c r="I52" s="33" t="s">
        <v>1039</v>
      </c>
      <c r="J52" s="34" t="s">
        <v>1059</v>
      </c>
      <c r="K52" s="34" t="s">
        <v>1061</v>
      </c>
      <c r="L52" s="35">
        <v>1</v>
      </c>
      <c r="M52" s="34" t="s">
        <v>52</v>
      </c>
      <c r="N52" s="32" t="s">
        <v>903</v>
      </c>
      <c r="O52" s="32" t="s">
        <v>1</v>
      </c>
      <c r="P52" s="32" t="s">
        <v>1</v>
      </c>
      <c r="Q52" s="269" t="s">
        <v>1</v>
      </c>
      <c r="R52" s="269"/>
      <c r="S52" s="45">
        <v>1</v>
      </c>
    </row>
    <row r="53" spans="1:20" s="41" customFormat="1" ht="45" customHeight="1">
      <c r="A53" s="44">
        <f t="shared" si="0"/>
        <v>48</v>
      </c>
      <c r="B53" s="82" t="s">
        <v>557</v>
      </c>
      <c r="C53" s="31" t="s">
        <v>1</v>
      </c>
      <c r="D53" s="31" t="s">
        <v>551</v>
      </c>
      <c r="E53" s="31" t="s">
        <v>84</v>
      </c>
      <c r="F53" s="32" t="s">
        <v>50</v>
      </c>
      <c r="G53" s="32" t="s">
        <v>48</v>
      </c>
      <c r="H53" s="33" t="s">
        <v>1</v>
      </c>
      <c r="I53" s="33" t="s">
        <v>1</v>
      </c>
      <c r="J53" s="34" t="s">
        <v>1062</v>
      </c>
      <c r="K53" s="34" t="s">
        <v>1063</v>
      </c>
      <c r="L53" s="270">
        <v>1</v>
      </c>
      <c r="M53" s="268" t="s">
        <v>52</v>
      </c>
      <c r="N53" s="271" t="s">
        <v>903</v>
      </c>
      <c r="O53" s="32" t="s">
        <v>1</v>
      </c>
      <c r="P53" s="32" t="s">
        <v>1</v>
      </c>
      <c r="Q53" s="269" t="s">
        <v>1</v>
      </c>
      <c r="R53" s="269"/>
      <c r="S53" s="45">
        <v>1</v>
      </c>
    </row>
    <row r="54" spans="1:20" s="41" customFormat="1" ht="45" customHeight="1">
      <c r="A54" s="44">
        <f t="shared" si="0"/>
        <v>49</v>
      </c>
      <c r="B54" s="82" t="s">
        <v>558</v>
      </c>
      <c r="C54" s="31" t="s">
        <v>1</v>
      </c>
      <c r="D54" s="31" t="s">
        <v>551</v>
      </c>
      <c r="E54" s="31" t="s">
        <v>74</v>
      </c>
      <c r="F54" s="32" t="s">
        <v>49</v>
      </c>
      <c r="G54" s="32" t="s">
        <v>48</v>
      </c>
      <c r="H54" s="33" t="s">
        <v>1</v>
      </c>
      <c r="I54" s="33" t="s">
        <v>1</v>
      </c>
      <c r="J54" s="268" t="s">
        <v>1062</v>
      </c>
      <c r="K54" s="268" t="s">
        <v>1237</v>
      </c>
      <c r="L54" s="270"/>
      <c r="M54" s="268"/>
      <c r="N54" s="271"/>
      <c r="O54" s="32" t="s">
        <v>1</v>
      </c>
      <c r="P54" s="32" t="s">
        <v>1</v>
      </c>
      <c r="Q54" s="269" t="s">
        <v>1</v>
      </c>
      <c r="R54" s="269"/>
      <c r="S54" s="45">
        <v>1</v>
      </c>
    </row>
    <row r="55" spans="1:20" s="41" customFormat="1" ht="45" customHeight="1">
      <c r="A55" s="44">
        <f t="shared" si="0"/>
        <v>50</v>
      </c>
      <c r="B55" s="82" t="s">
        <v>559</v>
      </c>
      <c r="C55" s="31" t="s">
        <v>1</v>
      </c>
      <c r="D55" s="31" t="s">
        <v>551</v>
      </c>
      <c r="E55" s="31" t="s">
        <v>75</v>
      </c>
      <c r="F55" s="32" t="s">
        <v>49</v>
      </c>
      <c r="G55" s="32" t="s">
        <v>48</v>
      </c>
      <c r="H55" s="33" t="s">
        <v>1</v>
      </c>
      <c r="I55" s="33" t="s">
        <v>1</v>
      </c>
      <c r="J55" s="268"/>
      <c r="K55" s="268"/>
      <c r="L55" s="270"/>
      <c r="M55" s="268"/>
      <c r="N55" s="271"/>
      <c r="O55" s="32" t="s">
        <v>1</v>
      </c>
      <c r="P55" s="32" t="s">
        <v>1</v>
      </c>
      <c r="Q55" s="269" t="s">
        <v>1</v>
      </c>
      <c r="R55" s="269"/>
      <c r="S55" s="45">
        <v>1</v>
      </c>
    </row>
    <row r="56" spans="1:20" s="41" customFormat="1" ht="39" customHeight="1">
      <c r="A56" s="44">
        <f t="shared" si="0"/>
        <v>51</v>
      </c>
      <c r="B56" s="82" t="s">
        <v>1027</v>
      </c>
      <c r="C56" s="31" t="s">
        <v>1</v>
      </c>
      <c r="D56" s="31" t="s">
        <v>551</v>
      </c>
      <c r="E56" s="31" t="s">
        <v>1026</v>
      </c>
      <c r="F56" s="32" t="s">
        <v>114</v>
      </c>
      <c r="G56" s="32" t="s">
        <v>83</v>
      </c>
      <c r="H56" s="60">
        <v>0</v>
      </c>
      <c r="I56" s="60">
        <v>1</v>
      </c>
      <c r="J56" s="268" t="s">
        <v>1064</v>
      </c>
      <c r="K56" s="268" t="s">
        <v>1065</v>
      </c>
      <c r="L56" s="270">
        <v>1</v>
      </c>
      <c r="M56" s="268" t="s">
        <v>52</v>
      </c>
      <c r="N56" s="271" t="s">
        <v>903</v>
      </c>
      <c r="O56" s="32" t="s">
        <v>1</v>
      </c>
      <c r="P56" s="32" t="s">
        <v>1</v>
      </c>
      <c r="Q56" s="269" t="s">
        <v>1</v>
      </c>
      <c r="R56" s="269"/>
      <c r="S56" s="45">
        <v>1</v>
      </c>
      <c r="T56" s="61"/>
    </row>
    <row r="57" spans="1:20" s="41" customFormat="1" ht="39" customHeight="1">
      <c r="A57" s="44">
        <f t="shared" si="0"/>
        <v>52</v>
      </c>
      <c r="B57" s="82" t="s">
        <v>1028</v>
      </c>
      <c r="C57" s="31" t="s">
        <v>1</v>
      </c>
      <c r="D57" s="31" t="s">
        <v>551</v>
      </c>
      <c r="E57" s="31" t="s">
        <v>1026</v>
      </c>
      <c r="F57" s="32" t="s">
        <v>63</v>
      </c>
      <c r="G57" s="32" t="s">
        <v>83</v>
      </c>
      <c r="H57" s="60">
        <v>0</v>
      </c>
      <c r="I57" s="60">
        <v>1</v>
      </c>
      <c r="J57" s="268"/>
      <c r="K57" s="268"/>
      <c r="L57" s="270"/>
      <c r="M57" s="268"/>
      <c r="N57" s="271"/>
      <c r="O57" s="32" t="s">
        <v>1</v>
      </c>
      <c r="P57" s="32" t="s">
        <v>1</v>
      </c>
      <c r="Q57" s="269" t="s">
        <v>1</v>
      </c>
      <c r="R57" s="269"/>
      <c r="S57" s="45">
        <v>1</v>
      </c>
      <c r="T57" s="61"/>
    </row>
    <row r="58" spans="1:20" s="41" customFormat="1" ht="39" customHeight="1">
      <c r="A58" s="44">
        <f t="shared" si="0"/>
        <v>53</v>
      </c>
      <c r="B58" s="82" t="s">
        <v>1029</v>
      </c>
      <c r="C58" s="31" t="s">
        <v>1</v>
      </c>
      <c r="D58" s="31" t="s">
        <v>551</v>
      </c>
      <c r="E58" s="31" t="s">
        <v>1026</v>
      </c>
      <c r="F58" s="32" t="s">
        <v>114</v>
      </c>
      <c r="G58" s="32" t="s">
        <v>83</v>
      </c>
      <c r="H58" s="60">
        <v>0</v>
      </c>
      <c r="I58" s="60">
        <v>1</v>
      </c>
      <c r="J58" s="268" t="s">
        <v>1064</v>
      </c>
      <c r="K58" s="268" t="s">
        <v>1066</v>
      </c>
      <c r="L58" s="270">
        <v>1</v>
      </c>
      <c r="M58" s="268" t="s">
        <v>52</v>
      </c>
      <c r="N58" s="271" t="s">
        <v>903</v>
      </c>
      <c r="O58" s="32" t="s">
        <v>1</v>
      </c>
      <c r="P58" s="32" t="s">
        <v>1</v>
      </c>
      <c r="Q58" s="269" t="s">
        <v>1</v>
      </c>
      <c r="R58" s="269"/>
      <c r="S58" s="45">
        <v>1</v>
      </c>
    </row>
    <row r="59" spans="1:20" s="41" customFormat="1" ht="39" customHeight="1">
      <c r="A59" s="44">
        <f t="shared" si="0"/>
        <v>54</v>
      </c>
      <c r="B59" s="82" t="s">
        <v>1030</v>
      </c>
      <c r="C59" s="31" t="s">
        <v>1</v>
      </c>
      <c r="D59" s="31" t="s">
        <v>551</v>
      </c>
      <c r="E59" s="31" t="s">
        <v>1026</v>
      </c>
      <c r="F59" s="32" t="s">
        <v>63</v>
      </c>
      <c r="G59" s="32" t="s">
        <v>83</v>
      </c>
      <c r="H59" s="60">
        <v>0</v>
      </c>
      <c r="I59" s="60">
        <v>1</v>
      </c>
      <c r="J59" s="268"/>
      <c r="K59" s="268"/>
      <c r="L59" s="270"/>
      <c r="M59" s="268"/>
      <c r="N59" s="271"/>
      <c r="O59" s="32" t="s">
        <v>1</v>
      </c>
      <c r="P59" s="32" t="s">
        <v>1</v>
      </c>
      <c r="Q59" s="269" t="s">
        <v>1</v>
      </c>
      <c r="R59" s="269"/>
      <c r="S59" s="45">
        <v>1</v>
      </c>
    </row>
    <row r="60" spans="1:20" s="41" customFormat="1" ht="45" customHeight="1">
      <c r="A60" s="44">
        <f t="shared" si="0"/>
        <v>55</v>
      </c>
      <c r="B60" s="82" t="s">
        <v>560</v>
      </c>
      <c r="C60" s="31" t="s">
        <v>1</v>
      </c>
      <c r="D60" s="31" t="s">
        <v>561</v>
      </c>
      <c r="E60" s="31" t="s">
        <v>81</v>
      </c>
      <c r="F60" s="32" t="s">
        <v>415</v>
      </c>
      <c r="G60" s="32" t="s">
        <v>48</v>
      </c>
      <c r="H60" s="33" t="s">
        <v>1</v>
      </c>
      <c r="I60" s="33" t="s">
        <v>1</v>
      </c>
      <c r="J60" s="34" t="s">
        <v>416</v>
      </c>
      <c r="K60" s="34" t="s">
        <v>417</v>
      </c>
      <c r="L60" s="35">
        <v>1</v>
      </c>
      <c r="M60" s="34" t="s">
        <v>65</v>
      </c>
      <c r="N60" s="32" t="s">
        <v>903</v>
      </c>
      <c r="O60" s="32" t="s">
        <v>1</v>
      </c>
      <c r="P60" s="32" t="s">
        <v>1243</v>
      </c>
      <c r="Q60" s="269" t="s">
        <v>1</v>
      </c>
      <c r="R60" s="269"/>
      <c r="S60" s="45">
        <v>1</v>
      </c>
    </row>
    <row r="61" spans="1:20" s="41" customFormat="1" ht="45" customHeight="1">
      <c r="A61" s="44">
        <f t="shared" si="0"/>
        <v>56</v>
      </c>
      <c r="B61" s="82" t="s">
        <v>1213</v>
      </c>
      <c r="C61" s="31" t="s">
        <v>1</v>
      </c>
      <c r="D61" s="31" t="s">
        <v>1214</v>
      </c>
      <c r="E61" s="31" t="s">
        <v>382</v>
      </c>
      <c r="F61" s="32" t="s">
        <v>383</v>
      </c>
      <c r="G61" s="32" t="s">
        <v>83</v>
      </c>
      <c r="H61" s="42" t="s">
        <v>1</v>
      </c>
      <c r="I61" s="42" t="s">
        <v>1</v>
      </c>
      <c r="J61" s="34" t="s">
        <v>421</v>
      </c>
      <c r="K61" s="34" t="s">
        <v>1235</v>
      </c>
      <c r="L61" s="43">
        <v>1</v>
      </c>
      <c r="M61" s="34" t="s">
        <v>65</v>
      </c>
      <c r="N61" s="32" t="s">
        <v>903</v>
      </c>
      <c r="O61" s="32" t="s">
        <v>1</v>
      </c>
      <c r="P61" s="32" t="s">
        <v>1246</v>
      </c>
      <c r="Q61" s="269" t="s">
        <v>1</v>
      </c>
      <c r="R61" s="269"/>
      <c r="S61" s="45">
        <v>1</v>
      </c>
    </row>
    <row r="62" spans="1:20" s="41" customFormat="1" ht="45" customHeight="1">
      <c r="A62" s="44">
        <f t="shared" si="0"/>
        <v>57</v>
      </c>
      <c r="B62" s="82" t="s">
        <v>1232</v>
      </c>
      <c r="C62" s="31" t="s">
        <v>1</v>
      </c>
      <c r="D62" s="31" t="s">
        <v>1233</v>
      </c>
      <c r="E62" s="31" t="s">
        <v>382</v>
      </c>
      <c r="F62" s="32" t="s">
        <v>383</v>
      </c>
      <c r="G62" s="32" t="s">
        <v>83</v>
      </c>
      <c r="H62" s="42" t="s">
        <v>1</v>
      </c>
      <c r="I62" s="42" t="s">
        <v>1</v>
      </c>
      <c r="J62" s="34" t="s">
        <v>421</v>
      </c>
      <c r="K62" s="34" t="s">
        <v>1235</v>
      </c>
      <c r="L62" s="43">
        <v>1</v>
      </c>
      <c r="M62" s="34" t="s">
        <v>65</v>
      </c>
      <c r="N62" s="32" t="s">
        <v>903</v>
      </c>
      <c r="O62" s="32" t="s">
        <v>1</v>
      </c>
      <c r="P62" s="32" t="s">
        <v>1246</v>
      </c>
      <c r="Q62" s="269" t="s">
        <v>1</v>
      </c>
      <c r="R62" s="269"/>
      <c r="S62" s="45">
        <v>1</v>
      </c>
    </row>
    <row r="63" spans="1:20" s="41" customFormat="1" ht="45" customHeight="1">
      <c r="A63" s="44">
        <f t="shared" si="0"/>
        <v>58</v>
      </c>
      <c r="B63" s="82" t="s">
        <v>562</v>
      </c>
      <c r="C63" s="31" t="s">
        <v>1</v>
      </c>
      <c r="D63" s="31" t="s">
        <v>563</v>
      </c>
      <c r="E63" s="31" t="s">
        <v>355</v>
      </c>
      <c r="F63" s="32" t="s">
        <v>29</v>
      </c>
      <c r="G63" s="32" t="s">
        <v>48</v>
      </c>
      <c r="H63" s="33" t="s">
        <v>1</v>
      </c>
      <c r="I63" s="33" t="s">
        <v>1</v>
      </c>
      <c r="J63" s="34" t="s">
        <v>421</v>
      </c>
      <c r="K63" s="34" t="s">
        <v>420</v>
      </c>
      <c r="L63" s="35">
        <v>1</v>
      </c>
      <c r="M63" s="34" t="s">
        <v>65</v>
      </c>
      <c r="N63" s="32" t="s">
        <v>906</v>
      </c>
      <c r="O63" s="32" t="s">
        <v>1</v>
      </c>
      <c r="P63" s="32" t="s">
        <v>889</v>
      </c>
      <c r="Q63" s="269" t="s">
        <v>1</v>
      </c>
      <c r="R63" s="269"/>
      <c r="S63" s="45">
        <v>1</v>
      </c>
    </row>
    <row r="64" spans="1:20" s="41" customFormat="1" ht="45" customHeight="1">
      <c r="A64" s="44">
        <f t="shared" si="0"/>
        <v>59</v>
      </c>
      <c r="B64" s="82" t="s">
        <v>1151</v>
      </c>
      <c r="C64" s="31" t="s">
        <v>154</v>
      </c>
      <c r="D64" s="31" t="s">
        <v>563</v>
      </c>
      <c r="E64" s="31" t="s">
        <v>967</v>
      </c>
      <c r="F64" s="32" t="s">
        <v>91</v>
      </c>
      <c r="G64" s="32" t="s">
        <v>83</v>
      </c>
      <c r="H64" s="62">
        <v>0</v>
      </c>
      <c r="I64" s="62">
        <v>1</v>
      </c>
      <c r="J64" s="34" t="s">
        <v>411</v>
      </c>
      <c r="K64" s="34" t="s">
        <v>412</v>
      </c>
      <c r="L64" s="35">
        <v>1</v>
      </c>
      <c r="M64" s="34" t="s">
        <v>52</v>
      </c>
      <c r="N64" s="32" t="s">
        <v>906</v>
      </c>
      <c r="O64" s="32" t="s">
        <v>1</v>
      </c>
      <c r="P64" s="32" t="s">
        <v>1</v>
      </c>
      <c r="Q64" s="269" t="s">
        <v>1</v>
      </c>
      <c r="R64" s="269"/>
      <c r="S64" s="45">
        <v>1</v>
      </c>
    </row>
    <row r="65" spans="1:19" s="41" customFormat="1" ht="45" customHeight="1">
      <c r="A65" s="44">
        <f t="shared" si="0"/>
        <v>60</v>
      </c>
      <c r="B65" s="82" t="s">
        <v>1152</v>
      </c>
      <c r="C65" s="31" t="s">
        <v>154</v>
      </c>
      <c r="D65" s="31" t="s">
        <v>563</v>
      </c>
      <c r="E65" s="31" t="s">
        <v>968</v>
      </c>
      <c r="F65" s="32" t="s">
        <v>91</v>
      </c>
      <c r="G65" s="32" t="s">
        <v>83</v>
      </c>
      <c r="H65" s="62">
        <v>0</v>
      </c>
      <c r="I65" s="62">
        <v>1</v>
      </c>
      <c r="J65" s="34" t="s">
        <v>411</v>
      </c>
      <c r="K65" s="34" t="s">
        <v>412</v>
      </c>
      <c r="L65" s="35">
        <v>1</v>
      </c>
      <c r="M65" s="34" t="s">
        <v>52</v>
      </c>
      <c r="N65" s="32" t="s">
        <v>906</v>
      </c>
      <c r="O65" s="32" t="s">
        <v>1</v>
      </c>
      <c r="P65" s="32" t="s">
        <v>1</v>
      </c>
      <c r="Q65" s="269" t="s">
        <v>1</v>
      </c>
      <c r="R65" s="269"/>
      <c r="S65" s="45">
        <v>1</v>
      </c>
    </row>
    <row r="66" spans="1:19" s="41" customFormat="1" ht="45" customHeight="1">
      <c r="A66" s="44">
        <f t="shared" si="0"/>
        <v>61</v>
      </c>
      <c r="B66" s="82" t="s">
        <v>1153</v>
      </c>
      <c r="C66" s="31" t="s">
        <v>154</v>
      </c>
      <c r="D66" s="31" t="s">
        <v>563</v>
      </c>
      <c r="E66" s="31" t="s">
        <v>85</v>
      </c>
      <c r="F66" s="32" t="s">
        <v>966</v>
      </c>
      <c r="G66" s="32" t="s">
        <v>83</v>
      </c>
      <c r="H66" s="62">
        <v>0</v>
      </c>
      <c r="I66" s="62">
        <v>1</v>
      </c>
      <c r="J66" s="34" t="s">
        <v>411</v>
      </c>
      <c r="K66" s="34" t="s">
        <v>412</v>
      </c>
      <c r="L66" s="35">
        <v>1</v>
      </c>
      <c r="M66" s="34" t="s">
        <v>52</v>
      </c>
      <c r="N66" s="32" t="s">
        <v>906</v>
      </c>
      <c r="O66" s="32" t="s">
        <v>1</v>
      </c>
      <c r="P66" s="32" t="s">
        <v>1</v>
      </c>
      <c r="Q66" s="269" t="s">
        <v>1</v>
      </c>
      <c r="R66" s="269"/>
      <c r="S66" s="45">
        <v>1</v>
      </c>
    </row>
    <row r="67" spans="1:19" s="41" customFormat="1" ht="45" customHeight="1">
      <c r="A67" s="44">
        <f t="shared" si="0"/>
        <v>62</v>
      </c>
      <c r="B67" s="82" t="s">
        <v>564</v>
      </c>
      <c r="C67" s="31" t="s">
        <v>155</v>
      </c>
      <c r="D67" s="31" t="s">
        <v>563</v>
      </c>
      <c r="E67" s="31" t="s">
        <v>86</v>
      </c>
      <c r="F67" s="32" t="s">
        <v>31</v>
      </c>
      <c r="G67" s="32" t="s">
        <v>83</v>
      </c>
      <c r="H67" s="63" t="s">
        <v>971</v>
      </c>
      <c r="I67" s="63" t="s">
        <v>972</v>
      </c>
      <c r="J67" s="34" t="s">
        <v>1059</v>
      </c>
      <c r="K67" s="34" t="s">
        <v>1067</v>
      </c>
      <c r="L67" s="35">
        <v>1</v>
      </c>
      <c r="M67" s="34" t="s">
        <v>52</v>
      </c>
      <c r="N67" s="32" t="s">
        <v>903</v>
      </c>
      <c r="O67" s="32" t="s">
        <v>1</v>
      </c>
      <c r="P67" s="32" t="s">
        <v>1</v>
      </c>
      <c r="Q67" s="269" t="s">
        <v>1</v>
      </c>
      <c r="R67" s="269"/>
      <c r="S67" s="45">
        <v>1</v>
      </c>
    </row>
    <row r="68" spans="1:19" s="41" customFormat="1" ht="45" customHeight="1">
      <c r="A68" s="44">
        <f t="shared" si="0"/>
        <v>63</v>
      </c>
      <c r="B68" s="82" t="s">
        <v>565</v>
      </c>
      <c r="C68" s="31" t="s">
        <v>156</v>
      </c>
      <c r="D68" s="31" t="s">
        <v>563</v>
      </c>
      <c r="E68" s="31" t="s">
        <v>87</v>
      </c>
      <c r="F68" s="32" t="s">
        <v>31</v>
      </c>
      <c r="G68" s="32" t="s">
        <v>83</v>
      </c>
      <c r="H68" s="63" t="s">
        <v>971</v>
      </c>
      <c r="I68" s="63" t="s">
        <v>972</v>
      </c>
      <c r="J68" s="34" t="s">
        <v>1059</v>
      </c>
      <c r="K68" s="34" t="s">
        <v>1068</v>
      </c>
      <c r="L68" s="35">
        <v>1</v>
      </c>
      <c r="M68" s="34" t="s">
        <v>52</v>
      </c>
      <c r="N68" s="32" t="s">
        <v>906</v>
      </c>
      <c r="O68" s="32" t="s">
        <v>1</v>
      </c>
      <c r="P68" s="32" t="s">
        <v>1</v>
      </c>
      <c r="Q68" s="269" t="s">
        <v>1</v>
      </c>
      <c r="R68" s="269"/>
      <c r="S68" s="45">
        <v>1</v>
      </c>
    </row>
    <row r="69" spans="1:19" s="41" customFormat="1" ht="45" customHeight="1">
      <c r="A69" s="44">
        <f t="shared" si="0"/>
        <v>64</v>
      </c>
      <c r="B69" s="82" t="s">
        <v>567</v>
      </c>
      <c r="C69" s="31" t="s">
        <v>341</v>
      </c>
      <c r="D69" s="31" t="s">
        <v>563</v>
      </c>
      <c r="E69" s="31" t="s">
        <v>306</v>
      </c>
      <c r="F69" s="32" t="s">
        <v>88</v>
      </c>
      <c r="G69" s="32" t="s">
        <v>89</v>
      </c>
      <c r="H69" s="33" t="s">
        <v>113</v>
      </c>
      <c r="I69" s="33" t="s">
        <v>448</v>
      </c>
      <c r="J69" s="34" t="s">
        <v>1059</v>
      </c>
      <c r="K69" s="34" t="s">
        <v>1069</v>
      </c>
      <c r="L69" s="35">
        <v>1</v>
      </c>
      <c r="M69" s="34" t="s">
        <v>52</v>
      </c>
      <c r="N69" s="32" t="s">
        <v>903</v>
      </c>
      <c r="O69" s="32" t="s">
        <v>1</v>
      </c>
      <c r="P69" s="32" t="s">
        <v>1</v>
      </c>
      <c r="Q69" s="269" t="s">
        <v>1</v>
      </c>
      <c r="R69" s="269"/>
      <c r="S69" s="45">
        <v>1</v>
      </c>
    </row>
    <row r="70" spans="1:19" s="41" customFormat="1" ht="45" customHeight="1">
      <c r="A70" s="44">
        <f t="shared" si="0"/>
        <v>65</v>
      </c>
      <c r="B70" s="82" t="s">
        <v>568</v>
      </c>
      <c r="C70" s="31" t="s">
        <v>387</v>
      </c>
      <c r="D70" s="31" t="s">
        <v>563</v>
      </c>
      <c r="E70" s="31" t="s">
        <v>307</v>
      </c>
      <c r="F70" s="32" t="s">
        <v>88</v>
      </c>
      <c r="G70" s="32" t="s">
        <v>89</v>
      </c>
      <c r="H70" s="33" t="s">
        <v>113</v>
      </c>
      <c r="I70" s="33" t="s">
        <v>448</v>
      </c>
      <c r="J70" s="34" t="s">
        <v>1059</v>
      </c>
      <c r="K70" s="34" t="s">
        <v>1070</v>
      </c>
      <c r="L70" s="35">
        <v>1</v>
      </c>
      <c r="M70" s="34" t="s">
        <v>52</v>
      </c>
      <c r="N70" s="32" t="s">
        <v>906</v>
      </c>
      <c r="O70" s="32" t="s">
        <v>1</v>
      </c>
      <c r="P70" s="32" t="s">
        <v>1</v>
      </c>
      <c r="Q70" s="269" t="s">
        <v>1</v>
      </c>
      <c r="R70" s="269"/>
      <c r="S70" s="45">
        <v>1</v>
      </c>
    </row>
    <row r="71" spans="1:19" s="41" customFormat="1" ht="45" customHeight="1">
      <c r="A71" s="44">
        <f t="shared" si="0"/>
        <v>66</v>
      </c>
      <c r="B71" s="82" t="s">
        <v>566</v>
      </c>
      <c r="C71" s="31" t="s">
        <v>1</v>
      </c>
      <c r="D71" s="31" t="s">
        <v>563</v>
      </c>
      <c r="E71" s="31" t="s">
        <v>90</v>
      </c>
      <c r="F71" s="32" t="s">
        <v>970</v>
      </c>
      <c r="G71" s="32" t="s">
        <v>89</v>
      </c>
      <c r="H71" s="33" t="s">
        <v>1</v>
      </c>
      <c r="I71" s="33" t="s">
        <v>1</v>
      </c>
      <c r="J71" s="34" t="s">
        <v>457</v>
      </c>
      <c r="K71" s="34" t="s">
        <v>458</v>
      </c>
      <c r="L71" s="35">
        <v>1</v>
      </c>
      <c r="M71" s="34" t="s">
        <v>65</v>
      </c>
      <c r="N71" s="32" t="s">
        <v>903</v>
      </c>
      <c r="O71" s="32" t="s">
        <v>1</v>
      </c>
      <c r="P71" s="32" t="s">
        <v>891</v>
      </c>
      <c r="Q71" s="269" t="s">
        <v>1</v>
      </c>
      <c r="R71" s="269"/>
      <c r="S71" s="45">
        <v>1</v>
      </c>
    </row>
    <row r="72" spans="1:19" s="41" customFormat="1" ht="45" customHeight="1">
      <c r="A72" s="44">
        <f t="shared" ref="A72:A135" si="1">A71+1</f>
        <v>67</v>
      </c>
      <c r="B72" s="82" t="s">
        <v>569</v>
      </c>
      <c r="C72" s="31" t="s">
        <v>1</v>
      </c>
      <c r="D72" s="31" t="s">
        <v>563</v>
      </c>
      <c r="E72" s="31" t="s">
        <v>90</v>
      </c>
      <c r="F72" s="32" t="s">
        <v>251</v>
      </c>
      <c r="G72" s="32" t="s">
        <v>1</v>
      </c>
      <c r="H72" s="33" t="s">
        <v>113</v>
      </c>
      <c r="I72" s="33" t="s">
        <v>250</v>
      </c>
      <c r="J72" s="34" t="s">
        <v>457</v>
      </c>
      <c r="K72" s="34" t="s">
        <v>459</v>
      </c>
      <c r="L72" s="35">
        <v>1</v>
      </c>
      <c r="M72" s="34" t="s">
        <v>65</v>
      </c>
      <c r="N72" s="32" t="s">
        <v>903</v>
      </c>
      <c r="O72" s="32" t="s">
        <v>1</v>
      </c>
      <c r="P72" s="32" t="s">
        <v>891</v>
      </c>
      <c r="Q72" s="269" t="s">
        <v>1</v>
      </c>
      <c r="R72" s="269"/>
      <c r="S72" s="45">
        <v>1</v>
      </c>
    </row>
    <row r="73" spans="1:19" s="41" customFormat="1" ht="45" customHeight="1">
      <c r="A73" s="44">
        <f t="shared" si="1"/>
        <v>68</v>
      </c>
      <c r="B73" s="82" t="s">
        <v>570</v>
      </c>
      <c r="C73" s="31" t="s">
        <v>395</v>
      </c>
      <c r="D73" s="31" t="s">
        <v>563</v>
      </c>
      <c r="E73" s="31" t="s">
        <v>396</v>
      </c>
      <c r="F73" s="32" t="s">
        <v>88</v>
      </c>
      <c r="G73" s="32" t="s">
        <v>89</v>
      </c>
      <c r="H73" s="33" t="s">
        <v>113</v>
      </c>
      <c r="I73" s="33" t="s">
        <v>448</v>
      </c>
      <c r="J73" s="34" t="s">
        <v>1059</v>
      </c>
      <c r="K73" s="34" t="s">
        <v>1070</v>
      </c>
      <c r="L73" s="35">
        <v>1</v>
      </c>
      <c r="M73" s="34" t="s">
        <v>52</v>
      </c>
      <c r="N73" s="32" t="s">
        <v>906</v>
      </c>
      <c r="O73" s="32" t="s">
        <v>1</v>
      </c>
      <c r="P73" s="32" t="s">
        <v>1</v>
      </c>
      <c r="Q73" s="269" t="s">
        <v>1</v>
      </c>
      <c r="R73" s="269"/>
      <c r="S73" s="45">
        <v>1</v>
      </c>
    </row>
    <row r="74" spans="1:19" s="41" customFormat="1" ht="118.5" customHeight="1">
      <c r="A74" s="44">
        <f t="shared" si="1"/>
        <v>69</v>
      </c>
      <c r="B74" s="82" t="s">
        <v>1020</v>
      </c>
      <c r="C74" s="31" t="s">
        <v>1</v>
      </c>
      <c r="D74" s="31" t="s">
        <v>572</v>
      </c>
      <c r="E74" s="31" t="s">
        <v>1014</v>
      </c>
      <c r="F74" s="32" t="s">
        <v>1015</v>
      </c>
      <c r="G74" s="32" t="s">
        <v>83</v>
      </c>
      <c r="H74" s="33" t="s">
        <v>1</v>
      </c>
      <c r="I74" s="33" t="s">
        <v>1</v>
      </c>
      <c r="J74" s="34" t="s">
        <v>1016</v>
      </c>
      <c r="K74" s="34" t="s">
        <v>1019</v>
      </c>
      <c r="L74" s="35">
        <v>16</v>
      </c>
      <c r="M74" s="34" t="s">
        <v>65</v>
      </c>
      <c r="N74" s="32" t="s">
        <v>1031</v>
      </c>
      <c r="O74" s="32" t="s">
        <v>1</v>
      </c>
      <c r="P74" s="32" t="s">
        <v>1</v>
      </c>
      <c r="Q74" s="269" t="s">
        <v>1034</v>
      </c>
      <c r="R74" s="269"/>
      <c r="S74" s="45">
        <v>1</v>
      </c>
    </row>
    <row r="75" spans="1:19" s="113" customFormat="1" ht="45" customHeight="1">
      <c r="A75" s="44">
        <f t="shared" si="1"/>
        <v>70</v>
      </c>
      <c r="B75" s="82" t="s">
        <v>571</v>
      </c>
      <c r="C75" s="82" t="s">
        <v>157</v>
      </c>
      <c r="D75" s="82" t="s">
        <v>572</v>
      </c>
      <c r="E75" s="82" t="s">
        <v>282</v>
      </c>
      <c r="F75" s="83" t="s">
        <v>88</v>
      </c>
      <c r="G75" s="83" t="s">
        <v>89</v>
      </c>
      <c r="H75" s="84" t="s">
        <v>113</v>
      </c>
      <c r="I75" s="84" t="s">
        <v>250</v>
      </c>
      <c r="J75" s="85" t="s">
        <v>1071</v>
      </c>
      <c r="K75" s="85" t="s">
        <v>1072</v>
      </c>
      <c r="L75" s="86">
        <v>1</v>
      </c>
      <c r="M75" s="85" t="s">
        <v>52</v>
      </c>
      <c r="N75" s="83" t="s">
        <v>905</v>
      </c>
      <c r="O75" s="83" t="s">
        <v>1</v>
      </c>
      <c r="P75" s="83" t="s">
        <v>1</v>
      </c>
      <c r="Q75" s="275" t="s">
        <v>1</v>
      </c>
      <c r="R75" s="275"/>
      <c r="S75" s="87">
        <v>1</v>
      </c>
    </row>
    <row r="76" spans="1:19" s="113" customFormat="1" ht="45" customHeight="1">
      <c r="A76" s="44">
        <f t="shared" si="1"/>
        <v>71</v>
      </c>
      <c r="B76" s="82" t="s">
        <v>573</v>
      </c>
      <c r="C76" s="82" t="s">
        <v>158</v>
      </c>
      <c r="D76" s="82" t="s">
        <v>572</v>
      </c>
      <c r="E76" s="82" t="s">
        <v>283</v>
      </c>
      <c r="F76" s="83" t="s">
        <v>88</v>
      </c>
      <c r="G76" s="83" t="s">
        <v>89</v>
      </c>
      <c r="H76" s="84" t="s">
        <v>113</v>
      </c>
      <c r="I76" s="84" t="s">
        <v>250</v>
      </c>
      <c r="J76" s="85" t="s">
        <v>1071</v>
      </c>
      <c r="K76" s="85" t="s">
        <v>1072</v>
      </c>
      <c r="L76" s="86">
        <v>1</v>
      </c>
      <c r="M76" s="85" t="s">
        <v>52</v>
      </c>
      <c r="N76" s="83" t="s">
        <v>905</v>
      </c>
      <c r="O76" s="83" t="s">
        <v>1</v>
      </c>
      <c r="P76" s="83" t="s">
        <v>1</v>
      </c>
      <c r="Q76" s="275" t="s">
        <v>1</v>
      </c>
      <c r="R76" s="275"/>
      <c r="S76" s="87">
        <v>1</v>
      </c>
    </row>
    <row r="77" spans="1:19" s="113" customFormat="1" ht="45" customHeight="1">
      <c r="A77" s="44">
        <f t="shared" si="1"/>
        <v>72</v>
      </c>
      <c r="B77" s="82" t="s">
        <v>574</v>
      </c>
      <c r="C77" s="82" t="s">
        <v>159</v>
      </c>
      <c r="D77" s="82" t="s">
        <v>572</v>
      </c>
      <c r="E77" s="82" t="s">
        <v>284</v>
      </c>
      <c r="F77" s="83" t="s">
        <v>88</v>
      </c>
      <c r="G77" s="83" t="s">
        <v>89</v>
      </c>
      <c r="H77" s="84" t="s">
        <v>113</v>
      </c>
      <c r="I77" s="84" t="s">
        <v>250</v>
      </c>
      <c r="J77" s="85" t="s">
        <v>1071</v>
      </c>
      <c r="K77" s="85" t="s">
        <v>1072</v>
      </c>
      <c r="L77" s="86">
        <v>1</v>
      </c>
      <c r="M77" s="85" t="s">
        <v>52</v>
      </c>
      <c r="N77" s="83" t="s">
        <v>905</v>
      </c>
      <c r="O77" s="83" t="s">
        <v>1</v>
      </c>
      <c r="P77" s="83" t="s">
        <v>1</v>
      </c>
      <c r="Q77" s="275" t="s">
        <v>1</v>
      </c>
      <c r="R77" s="275"/>
      <c r="S77" s="87">
        <v>1</v>
      </c>
    </row>
    <row r="78" spans="1:19" s="113" customFormat="1" ht="45" customHeight="1">
      <c r="A78" s="44">
        <f t="shared" si="1"/>
        <v>73</v>
      </c>
      <c r="B78" s="82" t="s">
        <v>575</v>
      </c>
      <c r="C78" s="82" t="s">
        <v>160</v>
      </c>
      <c r="D78" s="82" t="s">
        <v>572</v>
      </c>
      <c r="E78" s="82" t="s">
        <v>285</v>
      </c>
      <c r="F78" s="83" t="s">
        <v>88</v>
      </c>
      <c r="G78" s="83" t="s">
        <v>89</v>
      </c>
      <c r="H78" s="84" t="s">
        <v>113</v>
      </c>
      <c r="I78" s="84" t="s">
        <v>250</v>
      </c>
      <c r="J78" s="85" t="s">
        <v>1071</v>
      </c>
      <c r="K78" s="85" t="s">
        <v>1072</v>
      </c>
      <c r="L78" s="86">
        <v>1</v>
      </c>
      <c r="M78" s="85" t="s">
        <v>52</v>
      </c>
      <c r="N78" s="83" t="s">
        <v>905</v>
      </c>
      <c r="O78" s="83" t="s">
        <v>1</v>
      </c>
      <c r="P78" s="83" t="s">
        <v>1</v>
      </c>
      <c r="Q78" s="275" t="s">
        <v>1</v>
      </c>
      <c r="R78" s="275"/>
      <c r="S78" s="87">
        <v>1</v>
      </c>
    </row>
    <row r="79" spans="1:19" s="113" customFormat="1" ht="45" customHeight="1">
      <c r="A79" s="44">
        <f t="shared" si="1"/>
        <v>74</v>
      </c>
      <c r="B79" s="82" t="s">
        <v>576</v>
      </c>
      <c r="C79" s="82" t="s">
        <v>161</v>
      </c>
      <c r="D79" s="82" t="s">
        <v>572</v>
      </c>
      <c r="E79" s="82" t="s">
        <v>286</v>
      </c>
      <c r="F79" s="83" t="s">
        <v>88</v>
      </c>
      <c r="G79" s="83" t="s">
        <v>89</v>
      </c>
      <c r="H79" s="84" t="s">
        <v>113</v>
      </c>
      <c r="I79" s="84" t="s">
        <v>250</v>
      </c>
      <c r="J79" s="85" t="s">
        <v>1071</v>
      </c>
      <c r="K79" s="85" t="s">
        <v>1072</v>
      </c>
      <c r="L79" s="86">
        <v>1</v>
      </c>
      <c r="M79" s="85" t="s">
        <v>52</v>
      </c>
      <c r="N79" s="83" t="s">
        <v>905</v>
      </c>
      <c r="O79" s="83" t="s">
        <v>1</v>
      </c>
      <c r="P79" s="83" t="s">
        <v>1</v>
      </c>
      <c r="Q79" s="275" t="s">
        <v>1</v>
      </c>
      <c r="R79" s="275"/>
      <c r="S79" s="87">
        <v>1</v>
      </c>
    </row>
    <row r="80" spans="1:19" s="113" customFormat="1" ht="45" customHeight="1">
      <c r="A80" s="44">
        <f t="shared" si="1"/>
        <v>75</v>
      </c>
      <c r="B80" s="82" t="s">
        <v>577</v>
      </c>
      <c r="C80" s="82" t="s">
        <v>162</v>
      </c>
      <c r="D80" s="82" t="s">
        <v>572</v>
      </c>
      <c r="E80" s="82" t="s">
        <v>287</v>
      </c>
      <c r="F80" s="83" t="s">
        <v>88</v>
      </c>
      <c r="G80" s="83" t="s">
        <v>89</v>
      </c>
      <c r="H80" s="84" t="s">
        <v>113</v>
      </c>
      <c r="I80" s="84" t="s">
        <v>250</v>
      </c>
      <c r="J80" s="85" t="s">
        <v>1071</v>
      </c>
      <c r="K80" s="85" t="s">
        <v>1072</v>
      </c>
      <c r="L80" s="86">
        <v>1</v>
      </c>
      <c r="M80" s="85" t="s">
        <v>52</v>
      </c>
      <c r="N80" s="83" t="s">
        <v>905</v>
      </c>
      <c r="O80" s="83" t="s">
        <v>1</v>
      </c>
      <c r="P80" s="83" t="s">
        <v>1</v>
      </c>
      <c r="Q80" s="275" t="s">
        <v>1</v>
      </c>
      <c r="R80" s="275"/>
      <c r="S80" s="87">
        <v>1</v>
      </c>
    </row>
    <row r="81" spans="1:19" s="113" customFormat="1" ht="45" customHeight="1">
      <c r="A81" s="44">
        <f t="shared" si="1"/>
        <v>76</v>
      </c>
      <c r="B81" s="82" t="s">
        <v>1159</v>
      </c>
      <c r="C81" s="82" t="s">
        <v>1154</v>
      </c>
      <c r="D81" s="82" t="s">
        <v>572</v>
      </c>
      <c r="E81" s="82" t="s">
        <v>1155</v>
      </c>
      <c r="F81" s="83" t="s">
        <v>88</v>
      </c>
      <c r="G81" s="83" t="s">
        <v>89</v>
      </c>
      <c r="H81" s="84" t="s">
        <v>113</v>
      </c>
      <c r="I81" s="84" t="s">
        <v>250</v>
      </c>
      <c r="J81" s="85" t="s">
        <v>1071</v>
      </c>
      <c r="K81" s="85" t="s">
        <v>1156</v>
      </c>
      <c r="L81" s="86">
        <v>1</v>
      </c>
      <c r="M81" s="85" t="s">
        <v>52</v>
      </c>
      <c r="N81" s="83" t="s">
        <v>905</v>
      </c>
      <c r="O81" s="83" t="s">
        <v>1</v>
      </c>
      <c r="P81" s="83" t="s">
        <v>1</v>
      </c>
      <c r="Q81" s="275" t="s">
        <v>1</v>
      </c>
      <c r="R81" s="275"/>
      <c r="S81" s="87">
        <v>1</v>
      </c>
    </row>
    <row r="82" spans="1:19" s="113" customFormat="1" ht="45" customHeight="1">
      <c r="A82" s="44">
        <f t="shared" si="1"/>
        <v>77</v>
      </c>
      <c r="B82" s="82" t="s">
        <v>1160</v>
      </c>
      <c r="C82" s="82" t="s">
        <v>1157</v>
      </c>
      <c r="D82" s="82" t="s">
        <v>572</v>
      </c>
      <c r="E82" s="82" t="s">
        <v>1158</v>
      </c>
      <c r="F82" s="83" t="s">
        <v>88</v>
      </c>
      <c r="G82" s="83" t="s">
        <v>89</v>
      </c>
      <c r="H82" s="84" t="s">
        <v>113</v>
      </c>
      <c r="I82" s="84" t="s">
        <v>250</v>
      </c>
      <c r="J82" s="85" t="s">
        <v>1071</v>
      </c>
      <c r="K82" s="85" t="s">
        <v>1156</v>
      </c>
      <c r="L82" s="86">
        <v>1</v>
      </c>
      <c r="M82" s="85" t="s">
        <v>52</v>
      </c>
      <c r="N82" s="83" t="s">
        <v>905</v>
      </c>
      <c r="O82" s="83" t="s">
        <v>1</v>
      </c>
      <c r="P82" s="83" t="s">
        <v>1</v>
      </c>
      <c r="Q82" s="275" t="s">
        <v>1</v>
      </c>
      <c r="R82" s="275"/>
      <c r="S82" s="87">
        <v>1</v>
      </c>
    </row>
    <row r="83" spans="1:19" s="114" customFormat="1" ht="45" customHeight="1">
      <c r="A83" s="44">
        <f t="shared" si="1"/>
        <v>78</v>
      </c>
      <c r="B83" s="110" t="s">
        <v>1296</v>
      </c>
      <c r="C83" s="110" t="s">
        <v>1</v>
      </c>
      <c r="D83" s="110" t="s">
        <v>572</v>
      </c>
      <c r="E83" s="110" t="s">
        <v>1287</v>
      </c>
      <c r="F83" s="108" t="s">
        <v>88</v>
      </c>
      <c r="G83" s="108" t="s">
        <v>89</v>
      </c>
      <c r="H83" s="111" t="s">
        <v>113</v>
      </c>
      <c r="I83" s="111" t="s">
        <v>250</v>
      </c>
      <c r="J83" s="106" t="s">
        <v>414</v>
      </c>
      <c r="K83" s="106" t="s">
        <v>414</v>
      </c>
      <c r="L83" s="107">
        <v>1</v>
      </c>
      <c r="M83" s="106" t="s">
        <v>52</v>
      </c>
      <c r="N83" s="108" t="s">
        <v>1288</v>
      </c>
      <c r="O83" s="108" t="s">
        <v>1</v>
      </c>
      <c r="P83" s="108" t="s">
        <v>1</v>
      </c>
      <c r="Q83" s="285" t="s">
        <v>1</v>
      </c>
      <c r="R83" s="285"/>
      <c r="S83" s="109">
        <v>4</v>
      </c>
    </row>
    <row r="84" spans="1:19" s="114" customFormat="1" ht="45" customHeight="1">
      <c r="A84" s="44">
        <f t="shared" si="1"/>
        <v>79</v>
      </c>
      <c r="B84" s="110" t="s">
        <v>1297</v>
      </c>
      <c r="C84" s="110" t="s">
        <v>1</v>
      </c>
      <c r="D84" s="110" t="s">
        <v>572</v>
      </c>
      <c r="E84" s="110" t="s">
        <v>1289</v>
      </c>
      <c r="F84" s="108" t="s">
        <v>88</v>
      </c>
      <c r="G84" s="108" t="s">
        <v>89</v>
      </c>
      <c r="H84" s="111" t="s">
        <v>113</v>
      </c>
      <c r="I84" s="111" t="s">
        <v>250</v>
      </c>
      <c r="J84" s="106" t="s">
        <v>414</v>
      </c>
      <c r="K84" s="106" t="s">
        <v>414</v>
      </c>
      <c r="L84" s="107">
        <v>1</v>
      </c>
      <c r="M84" s="106" t="s">
        <v>52</v>
      </c>
      <c r="N84" s="108" t="s">
        <v>1288</v>
      </c>
      <c r="O84" s="108" t="s">
        <v>1</v>
      </c>
      <c r="P84" s="108" t="s">
        <v>1</v>
      </c>
      <c r="Q84" s="285" t="s">
        <v>1</v>
      </c>
      <c r="R84" s="285"/>
      <c r="S84" s="109">
        <v>4</v>
      </c>
    </row>
    <row r="85" spans="1:19" s="114" customFormat="1" ht="45" customHeight="1">
      <c r="A85" s="44">
        <f t="shared" si="1"/>
        <v>80</v>
      </c>
      <c r="B85" s="110" t="s">
        <v>1298</v>
      </c>
      <c r="C85" s="110" t="s">
        <v>1</v>
      </c>
      <c r="D85" s="110" t="s">
        <v>572</v>
      </c>
      <c r="E85" s="110" t="s">
        <v>1290</v>
      </c>
      <c r="F85" s="108" t="s">
        <v>88</v>
      </c>
      <c r="G85" s="108" t="s">
        <v>89</v>
      </c>
      <c r="H85" s="111" t="s">
        <v>113</v>
      </c>
      <c r="I85" s="111" t="s">
        <v>250</v>
      </c>
      <c r="J85" s="106" t="s">
        <v>414</v>
      </c>
      <c r="K85" s="106" t="s">
        <v>414</v>
      </c>
      <c r="L85" s="107">
        <v>1</v>
      </c>
      <c r="M85" s="106" t="s">
        <v>52</v>
      </c>
      <c r="N85" s="108" t="s">
        <v>1288</v>
      </c>
      <c r="O85" s="108" t="s">
        <v>1</v>
      </c>
      <c r="P85" s="108" t="s">
        <v>1</v>
      </c>
      <c r="Q85" s="285" t="s">
        <v>1</v>
      </c>
      <c r="R85" s="285"/>
      <c r="S85" s="109">
        <v>4</v>
      </c>
    </row>
    <row r="86" spans="1:19" s="114" customFormat="1" ht="45" customHeight="1">
      <c r="A86" s="44">
        <f t="shared" si="1"/>
        <v>81</v>
      </c>
      <c r="B86" s="110" t="s">
        <v>1299</v>
      </c>
      <c r="C86" s="110" t="s">
        <v>1</v>
      </c>
      <c r="D86" s="110" t="s">
        <v>572</v>
      </c>
      <c r="E86" s="110" t="s">
        <v>1291</v>
      </c>
      <c r="F86" s="108" t="s">
        <v>88</v>
      </c>
      <c r="G86" s="108" t="s">
        <v>89</v>
      </c>
      <c r="H86" s="111" t="s">
        <v>113</v>
      </c>
      <c r="I86" s="111" t="s">
        <v>250</v>
      </c>
      <c r="J86" s="106" t="s">
        <v>414</v>
      </c>
      <c r="K86" s="106" t="s">
        <v>414</v>
      </c>
      <c r="L86" s="107">
        <v>1</v>
      </c>
      <c r="M86" s="106" t="s">
        <v>52</v>
      </c>
      <c r="N86" s="108" t="s">
        <v>1288</v>
      </c>
      <c r="O86" s="108" t="s">
        <v>1</v>
      </c>
      <c r="P86" s="108" t="s">
        <v>1</v>
      </c>
      <c r="Q86" s="285" t="s">
        <v>1</v>
      </c>
      <c r="R86" s="285"/>
      <c r="S86" s="109">
        <v>4</v>
      </c>
    </row>
    <row r="87" spans="1:19" s="114" customFormat="1" ht="45" customHeight="1">
      <c r="A87" s="44">
        <f t="shared" si="1"/>
        <v>82</v>
      </c>
      <c r="B87" s="110" t="s">
        <v>1300</v>
      </c>
      <c r="C87" s="110" t="s">
        <v>1</v>
      </c>
      <c r="D87" s="110" t="s">
        <v>572</v>
      </c>
      <c r="E87" s="110" t="s">
        <v>1292</v>
      </c>
      <c r="F87" s="108" t="s">
        <v>88</v>
      </c>
      <c r="G87" s="108" t="s">
        <v>89</v>
      </c>
      <c r="H87" s="111" t="s">
        <v>113</v>
      </c>
      <c r="I87" s="111" t="s">
        <v>250</v>
      </c>
      <c r="J87" s="106" t="s">
        <v>414</v>
      </c>
      <c r="K87" s="106" t="s">
        <v>414</v>
      </c>
      <c r="L87" s="107">
        <v>1</v>
      </c>
      <c r="M87" s="106" t="s">
        <v>52</v>
      </c>
      <c r="N87" s="108" t="s">
        <v>1288</v>
      </c>
      <c r="O87" s="108" t="s">
        <v>1</v>
      </c>
      <c r="P87" s="108" t="s">
        <v>1</v>
      </c>
      <c r="Q87" s="285" t="s">
        <v>1</v>
      </c>
      <c r="R87" s="285"/>
      <c r="S87" s="109">
        <v>4</v>
      </c>
    </row>
    <row r="88" spans="1:19" s="114" customFormat="1" ht="45" customHeight="1">
      <c r="A88" s="44">
        <f t="shared" si="1"/>
        <v>83</v>
      </c>
      <c r="B88" s="110" t="s">
        <v>1301</v>
      </c>
      <c r="C88" s="110" t="s">
        <v>1</v>
      </c>
      <c r="D88" s="110" t="s">
        <v>572</v>
      </c>
      <c r="E88" s="110" t="s">
        <v>1293</v>
      </c>
      <c r="F88" s="108" t="s">
        <v>88</v>
      </c>
      <c r="G88" s="108" t="s">
        <v>89</v>
      </c>
      <c r="H88" s="111" t="s">
        <v>113</v>
      </c>
      <c r="I88" s="111" t="s">
        <v>250</v>
      </c>
      <c r="J88" s="106" t="s">
        <v>414</v>
      </c>
      <c r="K88" s="106" t="s">
        <v>414</v>
      </c>
      <c r="L88" s="107">
        <v>1</v>
      </c>
      <c r="M88" s="106" t="s">
        <v>52</v>
      </c>
      <c r="N88" s="108" t="s">
        <v>1288</v>
      </c>
      <c r="O88" s="108" t="s">
        <v>1</v>
      </c>
      <c r="P88" s="108" t="s">
        <v>1</v>
      </c>
      <c r="Q88" s="285" t="s">
        <v>1</v>
      </c>
      <c r="R88" s="285"/>
      <c r="S88" s="109">
        <v>4</v>
      </c>
    </row>
    <row r="89" spans="1:19" s="114" customFormat="1" ht="45" customHeight="1">
      <c r="A89" s="44">
        <f t="shared" si="1"/>
        <v>84</v>
      </c>
      <c r="B89" s="110" t="s">
        <v>1302</v>
      </c>
      <c r="C89" s="110" t="s">
        <v>1</v>
      </c>
      <c r="D89" s="110" t="s">
        <v>572</v>
      </c>
      <c r="E89" s="110" t="s">
        <v>1294</v>
      </c>
      <c r="F89" s="108" t="s">
        <v>88</v>
      </c>
      <c r="G89" s="108" t="s">
        <v>89</v>
      </c>
      <c r="H89" s="111" t="s">
        <v>113</v>
      </c>
      <c r="I89" s="111" t="s">
        <v>250</v>
      </c>
      <c r="J89" s="106" t="s">
        <v>414</v>
      </c>
      <c r="K89" s="106" t="s">
        <v>414</v>
      </c>
      <c r="L89" s="107">
        <v>1</v>
      </c>
      <c r="M89" s="106" t="s">
        <v>52</v>
      </c>
      <c r="N89" s="108" t="s">
        <v>1288</v>
      </c>
      <c r="O89" s="108" t="s">
        <v>1</v>
      </c>
      <c r="P89" s="108" t="s">
        <v>1</v>
      </c>
      <c r="Q89" s="285" t="s">
        <v>1</v>
      </c>
      <c r="R89" s="285"/>
      <c r="S89" s="109">
        <v>4</v>
      </c>
    </row>
    <row r="90" spans="1:19" s="114" customFormat="1" ht="45" customHeight="1">
      <c r="A90" s="44">
        <f t="shared" si="1"/>
        <v>85</v>
      </c>
      <c r="B90" s="110" t="s">
        <v>1303</v>
      </c>
      <c r="C90" s="110" t="s">
        <v>1</v>
      </c>
      <c r="D90" s="110" t="s">
        <v>572</v>
      </c>
      <c r="E90" s="110" t="s">
        <v>1295</v>
      </c>
      <c r="F90" s="108" t="s">
        <v>88</v>
      </c>
      <c r="G90" s="108" t="s">
        <v>89</v>
      </c>
      <c r="H90" s="111" t="s">
        <v>113</v>
      </c>
      <c r="I90" s="111" t="s">
        <v>250</v>
      </c>
      <c r="J90" s="106" t="s">
        <v>414</v>
      </c>
      <c r="K90" s="106" t="s">
        <v>414</v>
      </c>
      <c r="L90" s="107">
        <v>1</v>
      </c>
      <c r="M90" s="106" t="s">
        <v>52</v>
      </c>
      <c r="N90" s="108" t="s">
        <v>1288</v>
      </c>
      <c r="O90" s="108" t="s">
        <v>1</v>
      </c>
      <c r="P90" s="108" t="s">
        <v>1</v>
      </c>
      <c r="Q90" s="285" t="s">
        <v>1</v>
      </c>
      <c r="R90" s="285"/>
      <c r="S90" s="109">
        <v>4</v>
      </c>
    </row>
    <row r="91" spans="1:19" s="41" customFormat="1" ht="45" customHeight="1">
      <c r="A91" s="44">
        <f t="shared" si="1"/>
        <v>86</v>
      </c>
      <c r="B91" s="115" t="s">
        <v>1313</v>
      </c>
      <c r="C91" s="31" t="s">
        <v>163</v>
      </c>
      <c r="D91" s="31" t="s">
        <v>572</v>
      </c>
      <c r="E91" s="31" t="s">
        <v>300</v>
      </c>
      <c r="F91" s="32" t="s">
        <v>91</v>
      </c>
      <c r="G91" s="32" t="s">
        <v>83</v>
      </c>
      <c r="H91" s="33" t="s">
        <v>340</v>
      </c>
      <c r="I91" s="33" t="s">
        <v>335</v>
      </c>
      <c r="J91" s="34" t="s">
        <v>93</v>
      </c>
      <c r="K91" s="34" t="s">
        <v>94</v>
      </c>
      <c r="L91" s="35">
        <v>1</v>
      </c>
      <c r="M91" s="34" t="s">
        <v>52</v>
      </c>
      <c r="N91" s="32" t="s">
        <v>905</v>
      </c>
      <c r="O91" s="32" t="s">
        <v>1</v>
      </c>
      <c r="P91" s="32" t="s">
        <v>1</v>
      </c>
      <c r="Q91" s="269" t="s">
        <v>1</v>
      </c>
      <c r="R91" s="269"/>
      <c r="S91" s="45">
        <v>5</v>
      </c>
    </row>
    <row r="92" spans="1:19" s="41" customFormat="1" ht="45" customHeight="1">
      <c r="A92" s="44">
        <f t="shared" si="1"/>
        <v>87</v>
      </c>
      <c r="B92" s="115" t="s">
        <v>1314</v>
      </c>
      <c r="C92" s="31" t="s">
        <v>1</v>
      </c>
      <c r="D92" s="31" t="s">
        <v>572</v>
      </c>
      <c r="E92" s="31" t="s">
        <v>301</v>
      </c>
      <c r="F92" s="32" t="s">
        <v>91</v>
      </c>
      <c r="G92" s="32" t="s">
        <v>83</v>
      </c>
      <c r="H92" s="33" t="s">
        <v>340</v>
      </c>
      <c r="I92" s="33" t="s">
        <v>335</v>
      </c>
      <c r="J92" s="34" t="s">
        <v>93</v>
      </c>
      <c r="K92" s="34" t="s">
        <v>94</v>
      </c>
      <c r="L92" s="35">
        <v>1</v>
      </c>
      <c r="M92" s="34" t="s">
        <v>65</v>
      </c>
      <c r="N92" s="32" t="s">
        <v>905</v>
      </c>
      <c r="O92" s="32" t="s">
        <v>1</v>
      </c>
      <c r="P92" s="32" t="s">
        <v>898</v>
      </c>
      <c r="Q92" s="269" t="s">
        <v>1</v>
      </c>
      <c r="R92" s="269"/>
      <c r="S92" s="45">
        <v>5</v>
      </c>
    </row>
    <row r="93" spans="1:19" s="41" customFormat="1" ht="45" customHeight="1">
      <c r="A93" s="44">
        <f t="shared" si="1"/>
        <v>88</v>
      </c>
      <c r="B93" s="82" t="s">
        <v>578</v>
      </c>
      <c r="C93" s="31" t="s">
        <v>1</v>
      </c>
      <c r="D93" s="31" t="s">
        <v>572</v>
      </c>
      <c r="E93" s="31" t="s">
        <v>431</v>
      </c>
      <c r="F93" s="32" t="s">
        <v>115</v>
      </c>
      <c r="G93" s="32" t="s">
        <v>83</v>
      </c>
      <c r="H93" s="33" t="s">
        <v>1</v>
      </c>
      <c r="I93" s="33" t="s">
        <v>1</v>
      </c>
      <c r="J93" s="34" t="s">
        <v>93</v>
      </c>
      <c r="K93" s="34" t="s">
        <v>456</v>
      </c>
      <c r="L93" s="35">
        <v>1</v>
      </c>
      <c r="M93" s="34" t="s">
        <v>65</v>
      </c>
      <c r="N93" s="32" t="s">
        <v>905</v>
      </c>
      <c r="O93" s="32" t="s">
        <v>1</v>
      </c>
      <c r="P93" s="32" t="s">
        <v>893</v>
      </c>
      <c r="Q93" s="269" t="s">
        <v>1</v>
      </c>
      <c r="R93" s="269"/>
      <c r="S93" s="45">
        <v>1</v>
      </c>
    </row>
    <row r="94" spans="1:19" s="41" customFormat="1" ht="45" customHeight="1">
      <c r="A94" s="44">
        <f t="shared" si="1"/>
        <v>89</v>
      </c>
      <c r="B94" s="82" t="s">
        <v>1025</v>
      </c>
      <c r="C94" s="31" t="s">
        <v>1</v>
      </c>
      <c r="D94" s="31" t="s">
        <v>580</v>
      </c>
      <c r="E94" s="31" t="s">
        <v>1014</v>
      </c>
      <c r="F94" s="32" t="s">
        <v>1015</v>
      </c>
      <c r="G94" s="32" t="s">
        <v>83</v>
      </c>
      <c r="H94" s="33" t="s">
        <v>1</v>
      </c>
      <c r="I94" s="33" t="s">
        <v>1</v>
      </c>
      <c r="J94" s="34" t="s">
        <v>1016</v>
      </c>
      <c r="K94" s="34" t="s">
        <v>1017</v>
      </c>
      <c r="L94" s="35">
        <v>2</v>
      </c>
      <c r="M94" s="34" t="s">
        <v>65</v>
      </c>
      <c r="N94" s="32" t="s">
        <v>1031</v>
      </c>
      <c r="O94" s="32" t="s">
        <v>1</v>
      </c>
      <c r="P94" s="32" t="s">
        <v>1</v>
      </c>
      <c r="Q94" s="269" t="s">
        <v>1033</v>
      </c>
      <c r="R94" s="269"/>
      <c r="S94" s="45">
        <v>1</v>
      </c>
    </row>
    <row r="95" spans="1:19" s="41" customFormat="1" ht="45" customHeight="1">
      <c r="A95" s="44">
        <f t="shared" si="1"/>
        <v>90</v>
      </c>
      <c r="B95" s="82" t="s">
        <v>579</v>
      </c>
      <c r="C95" s="31" t="s">
        <v>805</v>
      </c>
      <c r="D95" s="31" t="s">
        <v>580</v>
      </c>
      <c r="E95" s="31" t="s">
        <v>295</v>
      </c>
      <c r="F95" s="32" t="s">
        <v>88</v>
      </c>
      <c r="G95" s="32" t="s">
        <v>89</v>
      </c>
      <c r="H95" s="33" t="s">
        <v>113</v>
      </c>
      <c r="I95" s="33" t="s">
        <v>330</v>
      </c>
      <c r="J95" s="34" t="s">
        <v>414</v>
      </c>
      <c r="K95" s="34" t="s">
        <v>414</v>
      </c>
      <c r="L95" s="35">
        <v>2</v>
      </c>
      <c r="M95" s="34" t="s">
        <v>52</v>
      </c>
      <c r="N95" s="32" t="s">
        <v>905</v>
      </c>
      <c r="O95" s="32" t="s">
        <v>1</v>
      </c>
      <c r="P95" s="32" t="s">
        <v>1</v>
      </c>
      <c r="Q95" s="269" t="s">
        <v>1</v>
      </c>
      <c r="R95" s="269"/>
      <c r="S95" s="45">
        <v>1</v>
      </c>
    </row>
    <row r="96" spans="1:19" s="41" customFormat="1" ht="45" customHeight="1">
      <c r="A96" s="44">
        <f t="shared" si="1"/>
        <v>91</v>
      </c>
      <c r="B96" s="82" t="s">
        <v>581</v>
      </c>
      <c r="C96" s="31" t="s">
        <v>342</v>
      </c>
      <c r="D96" s="31" t="s">
        <v>580</v>
      </c>
      <c r="E96" s="31" t="s">
        <v>296</v>
      </c>
      <c r="F96" s="32" t="s">
        <v>88</v>
      </c>
      <c r="G96" s="32" t="s">
        <v>89</v>
      </c>
      <c r="H96" s="33" t="s">
        <v>113</v>
      </c>
      <c r="I96" s="33" t="s">
        <v>330</v>
      </c>
      <c r="J96" s="34" t="s">
        <v>414</v>
      </c>
      <c r="K96" s="34" t="s">
        <v>414</v>
      </c>
      <c r="L96" s="35">
        <v>2</v>
      </c>
      <c r="M96" s="34" t="s">
        <v>52</v>
      </c>
      <c r="N96" s="32" t="s">
        <v>905</v>
      </c>
      <c r="O96" s="32" t="s">
        <v>1</v>
      </c>
      <c r="P96" s="32" t="s">
        <v>1</v>
      </c>
      <c r="Q96" s="269" t="s">
        <v>1</v>
      </c>
      <c r="R96" s="269"/>
      <c r="S96" s="45">
        <v>1</v>
      </c>
    </row>
    <row r="97" spans="1:19" s="41" customFormat="1" ht="45" customHeight="1">
      <c r="A97" s="44">
        <f t="shared" si="1"/>
        <v>92</v>
      </c>
      <c r="B97" s="82" t="s">
        <v>582</v>
      </c>
      <c r="C97" s="31" t="s">
        <v>343</v>
      </c>
      <c r="D97" s="31" t="s">
        <v>580</v>
      </c>
      <c r="E97" s="31" t="s">
        <v>297</v>
      </c>
      <c r="F97" s="32" t="s">
        <v>88</v>
      </c>
      <c r="G97" s="32" t="s">
        <v>89</v>
      </c>
      <c r="H97" s="33" t="s">
        <v>113</v>
      </c>
      <c r="I97" s="33" t="s">
        <v>330</v>
      </c>
      <c r="J97" s="34" t="s">
        <v>414</v>
      </c>
      <c r="K97" s="34" t="s">
        <v>414</v>
      </c>
      <c r="L97" s="35">
        <v>2</v>
      </c>
      <c r="M97" s="34" t="s">
        <v>52</v>
      </c>
      <c r="N97" s="32" t="s">
        <v>905</v>
      </c>
      <c r="O97" s="32" t="s">
        <v>1</v>
      </c>
      <c r="P97" s="32" t="s">
        <v>1</v>
      </c>
      <c r="Q97" s="269" t="s">
        <v>1</v>
      </c>
      <c r="R97" s="269"/>
      <c r="S97" s="45">
        <v>1</v>
      </c>
    </row>
    <row r="98" spans="1:19" s="41" customFormat="1" ht="45" customHeight="1">
      <c r="A98" s="44">
        <f t="shared" si="1"/>
        <v>93</v>
      </c>
      <c r="B98" s="82" t="s">
        <v>583</v>
      </c>
      <c r="C98" s="31" t="s">
        <v>344</v>
      </c>
      <c r="D98" s="31" t="s">
        <v>580</v>
      </c>
      <c r="E98" s="31" t="s">
        <v>298</v>
      </c>
      <c r="F98" s="32" t="s">
        <v>88</v>
      </c>
      <c r="G98" s="32" t="s">
        <v>89</v>
      </c>
      <c r="H98" s="33" t="s">
        <v>113</v>
      </c>
      <c r="I98" s="33" t="s">
        <v>330</v>
      </c>
      <c r="J98" s="34" t="s">
        <v>414</v>
      </c>
      <c r="K98" s="34" t="s">
        <v>414</v>
      </c>
      <c r="L98" s="35">
        <v>1</v>
      </c>
      <c r="M98" s="34" t="s">
        <v>52</v>
      </c>
      <c r="N98" s="32" t="s">
        <v>905</v>
      </c>
      <c r="O98" s="32" t="s">
        <v>1</v>
      </c>
      <c r="P98" s="32" t="s">
        <v>1</v>
      </c>
      <c r="Q98" s="269" t="s">
        <v>1</v>
      </c>
      <c r="R98" s="269"/>
      <c r="S98" s="45">
        <v>1</v>
      </c>
    </row>
    <row r="99" spans="1:19" s="41" customFormat="1" ht="45" customHeight="1">
      <c r="A99" s="44">
        <f t="shared" si="1"/>
        <v>94</v>
      </c>
      <c r="B99" s="82" t="s">
        <v>584</v>
      </c>
      <c r="C99" s="31" t="s">
        <v>172</v>
      </c>
      <c r="D99" s="31" t="s">
        <v>580</v>
      </c>
      <c r="E99" s="31" t="s">
        <v>299</v>
      </c>
      <c r="F99" s="32" t="s">
        <v>88</v>
      </c>
      <c r="G99" s="32" t="s">
        <v>89</v>
      </c>
      <c r="H99" s="33" t="s">
        <v>113</v>
      </c>
      <c r="I99" s="33" t="s">
        <v>330</v>
      </c>
      <c r="J99" s="34" t="s">
        <v>414</v>
      </c>
      <c r="K99" s="34" t="s">
        <v>414</v>
      </c>
      <c r="L99" s="35">
        <v>1</v>
      </c>
      <c r="M99" s="34" t="s">
        <v>52</v>
      </c>
      <c r="N99" s="32" t="s">
        <v>905</v>
      </c>
      <c r="O99" s="32" t="s">
        <v>1</v>
      </c>
      <c r="P99" s="32" t="s">
        <v>1</v>
      </c>
      <c r="Q99" s="269" t="s">
        <v>1</v>
      </c>
      <c r="R99" s="269"/>
      <c r="S99" s="45">
        <v>1</v>
      </c>
    </row>
    <row r="100" spans="1:19" s="41" customFormat="1" ht="45" customHeight="1">
      <c r="A100" s="44">
        <f t="shared" si="1"/>
        <v>95</v>
      </c>
      <c r="B100" s="82" t="s">
        <v>1315</v>
      </c>
      <c r="C100" s="31" t="s">
        <v>173</v>
      </c>
      <c r="D100" s="31" t="s">
        <v>580</v>
      </c>
      <c r="E100" s="31" t="s">
        <v>345</v>
      </c>
      <c r="F100" s="32" t="s">
        <v>91</v>
      </c>
      <c r="G100" s="32" t="s">
        <v>83</v>
      </c>
      <c r="H100" s="33" t="s">
        <v>340</v>
      </c>
      <c r="I100" s="33" t="s">
        <v>335</v>
      </c>
      <c r="J100" s="34" t="s">
        <v>93</v>
      </c>
      <c r="K100" s="34" t="s">
        <v>94</v>
      </c>
      <c r="L100" s="35">
        <v>1</v>
      </c>
      <c r="M100" s="34" t="s">
        <v>52</v>
      </c>
      <c r="N100" s="32" t="s">
        <v>905</v>
      </c>
      <c r="O100" s="32" t="s">
        <v>1</v>
      </c>
      <c r="P100" s="32" t="s">
        <v>1</v>
      </c>
      <c r="Q100" s="269" t="s">
        <v>1</v>
      </c>
      <c r="R100" s="269"/>
      <c r="S100" s="45">
        <v>1</v>
      </c>
    </row>
    <row r="101" spans="1:19" s="41" customFormat="1" ht="45" customHeight="1">
      <c r="A101" s="44">
        <f t="shared" si="1"/>
        <v>96</v>
      </c>
      <c r="B101" s="82" t="s">
        <v>1316</v>
      </c>
      <c r="C101" s="31" t="s">
        <v>174</v>
      </c>
      <c r="D101" s="31" t="s">
        <v>580</v>
      </c>
      <c r="E101" s="31" t="s">
        <v>249</v>
      </c>
      <c r="F101" s="32" t="s">
        <v>91</v>
      </c>
      <c r="G101" s="32" t="s">
        <v>83</v>
      </c>
      <c r="H101" s="33" t="s">
        <v>340</v>
      </c>
      <c r="I101" s="33" t="s">
        <v>335</v>
      </c>
      <c r="J101" s="34" t="s">
        <v>93</v>
      </c>
      <c r="K101" s="34" t="s">
        <v>94</v>
      </c>
      <c r="L101" s="35">
        <v>1</v>
      </c>
      <c r="M101" s="34" t="s">
        <v>52</v>
      </c>
      <c r="N101" s="32" t="s">
        <v>905</v>
      </c>
      <c r="O101" s="32" t="s">
        <v>1</v>
      </c>
      <c r="P101" s="32" t="s">
        <v>1</v>
      </c>
      <c r="Q101" s="269" t="s">
        <v>1</v>
      </c>
      <c r="R101" s="269"/>
      <c r="S101" s="45">
        <v>1</v>
      </c>
    </row>
    <row r="102" spans="1:19" s="41" customFormat="1" ht="45" customHeight="1">
      <c r="A102" s="44">
        <f t="shared" si="1"/>
        <v>97</v>
      </c>
      <c r="B102" s="82" t="s">
        <v>585</v>
      </c>
      <c r="C102" s="31" t="s">
        <v>164</v>
      </c>
      <c r="D102" s="31" t="s">
        <v>1317</v>
      </c>
      <c r="E102" s="31" t="s">
        <v>1</v>
      </c>
      <c r="F102" s="32" t="s">
        <v>62</v>
      </c>
      <c r="G102" s="32" t="s">
        <v>48</v>
      </c>
      <c r="H102" s="33" t="s">
        <v>1</v>
      </c>
      <c r="I102" s="33" t="s">
        <v>1</v>
      </c>
      <c r="J102" s="34" t="s">
        <v>1</v>
      </c>
      <c r="K102" s="34" t="s">
        <v>1</v>
      </c>
      <c r="L102" s="35">
        <v>1</v>
      </c>
      <c r="M102" s="34" t="s">
        <v>52</v>
      </c>
      <c r="N102" s="32" t="s">
        <v>905</v>
      </c>
      <c r="O102" s="32" t="s">
        <v>1</v>
      </c>
      <c r="P102" s="32" t="s">
        <v>1</v>
      </c>
      <c r="Q102" s="269" t="s">
        <v>1</v>
      </c>
      <c r="R102" s="269"/>
      <c r="S102" s="45">
        <v>1</v>
      </c>
    </row>
    <row r="103" spans="1:19" s="41" customFormat="1" ht="45" customHeight="1">
      <c r="A103" s="44">
        <f t="shared" si="1"/>
        <v>98</v>
      </c>
      <c r="B103" s="82" t="s">
        <v>586</v>
      </c>
      <c r="C103" s="31" t="s">
        <v>165</v>
      </c>
      <c r="D103" s="31" t="s">
        <v>1317</v>
      </c>
      <c r="E103" s="31" t="s">
        <v>1</v>
      </c>
      <c r="F103" s="32" t="s">
        <v>62</v>
      </c>
      <c r="G103" s="32" t="s">
        <v>48</v>
      </c>
      <c r="H103" s="33" t="s">
        <v>1</v>
      </c>
      <c r="I103" s="33" t="s">
        <v>1</v>
      </c>
      <c r="J103" s="34" t="s">
        <v>1</v>
      </c>
      <c r="K103" s="34" t="s">
        <v>1</v>
      </c>
      <c r="L103" s="35">
        <v>1</v>
      </c>
      <c r="M103" s="34" t="s">
        <v>52</v>
      </c>
      <c r="N103" s="32" t="s">
        <v>905</v>
      </c>
      <c r="O103" s="32" t="s">
        <v>1</v>
      </c>
      <c r="P103" s="32" t="s">
        <v>1</v>
      </c>
      <c r="Q103" s="269" t="s">
        <v>1</v>
      </c>
      <c r="R103" s="269"/>
      <c r="S103" s="45">
        <v>1</v>
      </c>
    </row>
    <row r="104" spans="1:19" s="41" customFormat="1" ht="45" customHeight="1">
      <c r="A104" s="44">
        <f t="shared" si="1"/>
        <v>99</v>
      </c>
      <c r="B104" s="82" t="s">
        <v>587</v>
      </c>
      <c r="C104" s="31" t="s">
        <v>166</v>
      </c>
      <c r="D104" s="31" t="s">
        <v>1317</v>
      </c>
      <c r="E104" s="31" t="s">
        <v>1</v>
      </c>
      <c r="F104" s="32" t="s">
        <v>62</v>
      </c>
      <c r="G104" s="32" t="s">
        <v>48</v>
      </c>
      <c r="H104" s="33" t="s">
        <v>1</v>
      </c>
      <c r="I104" s="33" t="s">
        <v>1</v>
      </c>
      <c r="J104" s="34" t="s">
        <v>1</v>
      </c>
      <c r="K104" s="34" t="s">
        <v>1</v>
      </c>
      <c r="L104" s="35">
        <v>1</v>
      </c>
      <c r="M104" s="34" t="s">
        <v>52</v>
      </c>
      <c r="N104" s="32" t="s">
        <v>905</v>
      </c>
      <c r="O104" s="32" t="s">
        <v>1</v>
      </c>
      <c r="P104" s="32" t="s">
        <v>1</v>
      </c>
      <c r="Q104" s="269" t="s">
        <v>1</v>
      </c>
      <c r="R104" s="269"/>
      <c r="S104" s="45">
        <v>1</v>
      </c>
    </row>
    <row r="105" spans="1:19" s="41" customFormat="1" ht="45" customHeight="1">
      <c r="A105" s="44">
        <f t="shared" si="1"/>
        <v>100</v>
      </c>
      <c r="B105" s="82" t="s">
        <v>588</v>
      </c>
      <c r="C105" s="31" t="s">
        <v>167</v>
      </c>
      <c r="D105" s="31" t="s">
        <v>1317</v>
      </c>
      <c r="E105" s="31" t="s">
        <v>1</v>
      </c>
      <c r="F105" s="32" t="s">
        <v>62</v>
      </c>
      <c r="G105" s="32" t="s">
        <v>48</v>
      </c>
      <c r="H105" s="33" t="s">
        <v>1</v>
      </c>
      <c r="I105" s="33" t="s">
        <v>1</v>
      </c>
      <c r="J105" s="34" t="s">
        <v>1</v>
      </c>
      <c r="K105" s="34" t="s">
        <v>1</v>
      </c>
      <c r="L105" s="35">
        <v>1</v>
      </c>
      <c r="M105" s="34" t="s">
        <v>52</v>
      </c>
      <c r="N105" s="32" t="s">
        <v>905</v>
      </c>
      <c r="O105" s="32" t="s">
        <v>1</v>
      </c>
      <c r="P105" s="32" t="s">
        <v>1</v>
      </c>
      <c r="Q105" s="269" t="s">
        <v>1</v>
      </c>
      <c r="R105" s="269"/>
      <c r="S105" s="45">
        <v>1</v>
      </c>
    </row>
    <row r="106" spans="1:19" s="41" customFormat="1" ht="45" customHeight="1">
      <c r="A106" s="44">
        <f t="shared" si="1"/>
        <v>101</v>
      </c>
      <c r="B106" s="82" t="s">
        <v>589</v>
      </c>
      <c r="C106" s="31" t="s">
        <v>168</v>
      </c>
      <c r="D106" s="31" t="s">
        <v>1317</v>
      </c>
      <c r="E106" s="31" t="s">
        <v>1</v>
      </c>
      <c r="F106" s="32" t="s">
        <v>62</v>
      </c>
      <c r="G106" s="32" t="s">
        <v>48</v>
      </c>
      <c r="H106" s="33" t="s">
        <v>1</v>
      </c>
      <c r="I106" s="33" t="s">
        <v>1</v>
      </c>
      <c r="J106" s="34" t="s">
        <v>1</v>
      </c>
      <c r="K106" s="34" t="s">
        <v>1</v>
      </c>
      <c r="L106" s="35">
        <v>1</v>
      </c>
      <c r="M106" s="34" t="s">
        <v>52</v>
      </c>
      <c r="N106" s="32" t="s">
        <v>905</v>
      </c>
      <c r="O106" s="32" t="s">
        <v>1</v>
      </c>
      <c r="P106" s="32" t="s">
        <v>1</v>
      </c>
      <c r="Q106" s="269" t="s">
        <v>1</v>
      </c>
      <c r="R106" s="269"/>
      <c r="S106" s="45">
        <v>1</v>
      </c>
    </row>
    <row r="107" spans="1:19" s="41" customFormat="1" ht="45" customHeight="1">
      <c r="A107" s="44">
        <f t="shared" si="1"/>
        <v>102</v>
      </c>
      <c r="B107" s="82" t="s">
        <v>590</v>
      </c>
      <c r="C107" s="31" t="s">
        <v>169</v>
      </c>
      <c r="D107" s="31" t="s">
        <v>1317</v>
      </c>
      <c r="E107" s="31" t="s">
        <v>1</v>
      </c>
      <c r="F107" s="32" t="s">
        <v>62</v>
      </c>
      <c r="G107" s="32" t="s">
        <v>48</v>
      </c>
      <c r="H107" s="33" t="s">
        <v>1</v>
      </c>
      <c r="I107" s="33" t="s">
        <v>1</v>
      </c>
      <c r="J107" s="34" t="s">
        <v>1</v>
      </c>
      <c r="K107" s="34" t="s">
        <v>1</v>
      </c>
      <c r="L107" s="35">
        <v>1</v>
      </c>
      <c r="M107" s="34" t="s">
        <v>52</v>
      </c>
      <c r="N107" s="32" t="s">
        <v>905</v>
      </c>
      <c r="O107" s="32" t="s">
        <v>1</v>
      </c>
      <c r="P107" s="32" t="s">
        <v>1</v>
      </c>
      <c r="Q107" s="269" t="s">
        <v>1</v>
      </c>
      <c r="R107" s="269"/>
      <c r="S107" s="45">
        <v>1</v>
      </c>
    </row>
    <row r="108" spans="1:19" s="41" customFormat="1" ht="45" customHeight="1">
      <c r="A108" s="44">
        <f t="shared" si="1"/>
        <v>103</v>
      </c>
      <c r="B108" s="82" t="s">
        <v>591</v>
      </c>
      <c r="C108" s="31" t="s">
        <v>170</v>
      </c>
      <c r="D108" s="31" t="s">
        <v>1317</v>
      </c>
      <c r="E108" s="31" t="s">
        <v>1</v>
      </c>
      <c r="F108" s="32" t="s">
        <v>62</v>
      </c>
      <c r="G108" s="32" t="s">
        <v>48</v>
      </c>
      <c r="H108" s="33" t="s">
        <v>1</v>
      </c>
      <c r="I108" s="33" t="s">
        <v>1</v>
      </c>
      <c r="J108" s="34" t="s">
        <v>1</v>
      </c>
      <c r="K108" s="34" t="s">
        <v>1</v>
      </c>
      <c r="L108" s="35">
        <v>1</v>
      </c>
      <c r="M108" s="34" t="s">
        <v>52</v>
      </c>
      <c r="N108" s="32" t="s">
        <v>905</v>
      </c>
      <c r="O108" s="32" t="s">
        <v>1</v>
      </c>
      <c r="P108" s="32" t="s">
        <v>1</v>
      </c>
      <c r="Q108" s="269" t="s">
        <v>1</v>
      </c>
      <c r="R108" s="269"/>
      <c r="S108" s="45">
        <v>1</v>
      </c>
    </row>
    <row r="109" spans="1:19" s="41" customFormat="1" ht="45" customHeight="1">
      <c r="A109" s="44">
        <f t="shared" si="1"/>
        <v>104</v>
      </c>
      <c r="B109" s="82" t="s">
        <v>592</v>
      </c>
      <c r="C109" s="31" t="s">
        <v>171</v>
      </c>
      <c r="D109" s="31" t="s">
        <v>1317</v>
      </c>
      <c r="E109" s="31" t="s">
        <v>1</v>
      </c>
      <c r="F109" s="32" t="s">
        <v>62</v>
      </c>
      <c r="G109" s="32" t="s">
        <v>48</v>
      </c>
      <c r="H109" s="33" t="s">
        <v>1</v>
      </c>
      <c r="I109" s="33" t="s">
        <v>1</v>
      </c>
      <c r="J109" s="34" t="s">
        <v>1</v>
      </c>
      <c r="K109" s="34" t="s">
        <v>1</v>
      </c>
      <c r="L109" s="35">
        <v>1</v>
      </c>
      <c r="M109" s="34" t="s">
        <v>52</v>
      </c>
      <c r="N109" s="32" t="s">
        <v>905</v>
      </c>
      <c r="O109" s="32" t="s">
        <v>1</v>
      </c>
      <c r="P109" s="32" t="s">
        <v>1</v>
      </c>
      <c r="Q109" s="269" t="s">
        <v>1</v>
      </c>
      <c r="R109" s="269"/>
      <c r="S109" s="45">
        <v>1</v>
      </c>
    </row>
    <row r="110" spans="1:19" s="41" customFormat="1" ht="45" customHeight="1">
      <c r="A110" s="44">
        <f t="shared" si="1"/>
        <v>105</v>
      </c>
      <c r="B110" s="82" t="s">
        <v>593</v>
      </c>
      <c r="C110" s="31" t="s">
        <v>1</v>
      </c>
      <c r="D110" s="31" t="s">
        <v>594</v>
      </c>
      <c r="E110" s="31" t="s">
        <v>303</v>
      </c>
      <c r="F110" s="32" t="s">
        <v>415</v>
      </c>
      <c r="G110" s="32" t="s">
        <v>48</v>
      </c>
      <c r="H110" s="33" t="s">
        <v>1</v>
      </c>
      <c r="I110" s="33" t="s">
        <v>1</v>
      </c>
      <c r="J110" s="268" t="s">
        <v>1073</v>
      </c>
      <c r="K110" s="268" t="s">
        <v>1074</v>
      </c>
      <c r="L110" s="270">
        <v>1</v>
      </c>
      <c r="M110" s="268" t="s">
        <v>52</v>
      </c>
      <c r="N110" s="271" t="s">
        <v>905</v>
      </c>
      <c r="O110" s="271" t="s">
        <v>1</v>
      </c>
      <c r="P110" s="271" t="s">
        <v>1</v>
      </c>
      <c r="Q110" s="269" t="s">
        <v>1238</v>
      </c>
      <c r="R110" s="269"/>
      <c r="S110" s="273">
        <v>1</v>
      </c>
    </row>
    <row r="111" spans="1:19" s="41" customFormat="1" ht="45" customHeight="1">
      <c r="A111" s="44">
        <f t="shared" si="1"/>
        <v>106</v>
      </c>
      <c r="B111" s="82" t="s">
        <v>595</v>
      </c>
      <c r="C111" s="31" t="s">
        <v>1</v>
      </c>
      <c r="D111" s="31" t="s">
        <v>594</v>
      </c>
      <c r="E111" s="31" t="s">
        <v>304</v>
      </c>
      <c r="F111" s="32" t="s">
        <v>415</v>
      </c>
      <c r="G111" s="32" t="s">
        <v>48</v>
      </c>
      <c r="H111" s="33" t="s">
        <v>1</v>
      </c>
      <c r="I111" s="33" t="s">
        <v>1</v>
      </c>
      <c r="J111" s="268"/>
      <c r="K111" s="268"/>
      <c r="L111" s="270"/>
      <c r="M111" s="268"/>
      <c r="N111" s="271"/>
      <c r="O111" s="271"/>
      <c r="P111" s="271"/>
      <c r="Q111" s="269"/>
      <c r="R111" s="269"/>
      <c r="S111" s="273"/>
    </row>
    <row r="112" spans="1:19" s="41" customFormat="1" ht="45" customHeight="1">
      <c r="A112" s="44">
        <f t="shared" si="1"/>
        <v>107</v>
      </c>
      <c r="B112" s="82" t="s">
        <v>596</v>
      </c>
      <c r="C112" s="31" t="s">
        <v>1</v>
      </c>
      <c r="D112" s="31" t="s">
        <v>594</v>
      </c>
      <c r="E112" s="31" t="s">
        <v>305</v>
      </c>
      <c r="F112" s="32" t="s">
        <v>88</v>
      </c>
      <c r="G112" s="32" t="s">
        <v>89</v>
      </c>
      <c r="H112" s="33" t="s">
        <v>1</v>
      </c>
      <c r="I112" s="33" t="s">
        <v>1</v>
      </c>
      <c r="J112" s="34" t="s">
        <v>1075</v>
      </c>
      <c r="K112" s="34" t="s">
        <v>1076</v>
      </c>
      <c r="L112" s="35">
        <v>1</v>
      </c>
      <c r="M112" s="34" t="s">
        <v>52</v>
      </c>
      <c r="N112" s="32" t="s">
        <v>905</v>
      </c>
      <c r="O112" s="32" t="s">
        <v>1</v>
      </c>
      <c r="P112" s="32" t="s">
        <v>1</v>
      </c>
      <c r="Q112" s="269" t="s">
        <v>1032</v>
      </c>
      <c r="R112" s="269"/>
      <c r="S112" s="45">
        <v>1</v>
      </c>
    </row>
    <row r="113" spans="1:19" s="41" customFormat="1" ht="45" customHeight="1">
      <c r="A113" s="44">
        <f t="shared" si="1"/>
        <v>108</v>
      </c>
      <c r="B113" s="82" t="s">
        <v>597</v>
      </c>
      <c r="C113" s="31" t="s">
        <v>175</v>
      </c>
      <c r="D113" s="31" t="s">
        <v>598</v>
      </c>
      <c r="E113" s="31" t="s">
        <v>294</v>
      </c>
      <c r="F113" s="32" t="s">
        <v>80</v>
      </c>
      <c r="G113" s="32" t="s">
        <v>48</v>
      </c>
      <c r="H113" s="33" t="s">
        <v>1</v>
      </c>
      <c r="I113" s="33" t="s">
        <v>1</v>
      </c>
      <c r="J113" s="34" t="s">
        <v>1077</v>
      </c>
      <c r="K113" s="34" t="s">
        <v>1078</v>
      </c>
      <c r="L113" s="35">
        <v>3</v>
      </c>
      <c r="M113" s="34" t="s">
        <v>52</v>
      </c>
      <c r="N113" s="32" t="s">
        <v>905</v>
      </c>
      <c r="O113" s="32" t="s">
        <v>1</v>
      </c>
      <c r="P113" s="32" t="s">
        <v>1</v>
      </c>
      <c r="Q113" s="269" t="s">
        <v>1</v>
      </c>
      <c r="R113" s="269"/>
      <c r="S113" s="45">
        <v>1</v>
      </c>
    </row>
    <row r="114" spans="1:19" s="41" customFormat="1" ht="45" customHeight="1">
      <c r="A114" s="44">
        <f t="shared" si="1"/>
        <v>109</v>
      </c>
      <c r="B114" s="82" t="s">
        <v>599</v>
      </c>
      <c r="C114" s="31" t="s">
        <v>176</v>
      </c>
      <c r="D114" s="31" t="s">
        <v>598</v>
      </c>
      <c r="E114" s="31" t="s">
        <v>441</v>
      </c>
      <c r="F114" s="32" t="s">
        <v>62</v>
      </c>
      <c r="G114" s="32" t="s">
        <v>48</v>
      </c>
      <c r="H114" s="33" t="s">
        <v>1</v>
      </c>
      <c r="I114" s="33" t="s">
        <v>1</v>
      </c>
      <c r="J114" s="34" t="s">
        <v>1079</v>
      </c>
      <c r="K114" s="34" t="s">
        <v>1139</v>
      </c>
      <c r="L114" s="35">
        <v>1</v>
      </c>
      <c r="M114" s="34" t="s">
        <v>52</v>
      </c>
      <c r="N114" s="32" t="s">
        <v>905</v>
      </c>
      <c r="O114" s="32" t="s">
        <v>1</v>
      </c>
      <c r="P114" s="32" t="s">
        <v>1</v>
      </c>
      <c r="Q114" s="269" t="s">
        <v>1</v>
      </c>
      <c r="R114" s="269"/>
      <c r="S114" s="45">
        <v>1</v>
      </c>
    </row>
    <row r="115" spans="1:19" s="41" customFormat="1" ht="45" customHeight="1">
      <c r="A115" s="44">
        <f t="shared" si="1"/>
        <v>110</v>
      </c>
      <c r="B115" s="82" t="s">
        <v>600</v>
      </c>
      <c r="C115" s="31" t="s">
        <v>1</v>
      </c>
      <c r="D115" s="31" t="s">
        <v>598</v>
      </c>
      <c r="E115" s="31" t="s">
        <v>440</v>
      </c>
      <c r="F115" s="32" t="s">
        <v>49</v>
      </c>
      <c r="G115" s="32" t="s">
        <v>48</v>
      </c>
      <c r="H115" s="33" t="s">
        <v>1</v>
      </c>
      <c r="I115" s="33" t="s">
        <v>1</v>
      </c>
      <c r="J115" s="34" t="s">
        <v>418</v>
      </c>
      <c r="K115" s="34" t="s">
        <v>419</v>
      </c>
      <c r="L115" s="35">
        <v>1</v>
      </c>
      <c r="M115" s="34" t="s">
        <v>65</v>
      </c>
      <c r="N115" s="32" t="s">
        <v>905</v>
      </c>
      <c r="O115" s="32" t="s">
        <v>1</v>
      </c>
      <c r="P115" s="32" t="s">
        <v>888</v>
      </c>
      <c r="Q115" s="269" t="s">
        <v>1</v>
      </c>
      <c r="R115" s="269"/>
      <c r="S115" s="45">
        <v>1</v>
      </c>
    </row>
    <row r="116" spans="1:19" s="41" customFormat="1" ht="45" customHeight="1">
      <c r="A116" s="44">
        <f t="shared" si="1"/>
        <v>111</v>
      </c>
      <c r="B116" s="82" t="s">
        <v>601</v>
      </c>
      <c r="C116" s="31" t="s">
        <v>1</v>
      </c>
      <c r="D116" s="31" t="s">
        <v>598</v>
      </c>
      <c r="E116" s="31" t="s">
        <v>95</v>
      </c>
      <c r="F116" s="32" t="s">
        <v>49</v>
      </c>
      <c r="G116" s="32" t="s">
        <v>48</v>
      </c>
      <c r="H116" s="33" t="s">
        <v>1</v>
      </c>
      <c r="I116" s="33" t="s">
        <v>1</v>
      </c>
      <c r="J116" s="34" t="s">
        <v>418</v>
      </c>
      <c r="K116" s="34" t="s">
        <v>419</v>
      </c>
      <c r="L116" s="35">
        <v>1</v>
      </c>
      <c r="M116" s="34" t="s">
        <v>65</v>
      </c>
      <c r="N116" s="32" t="s">
        <v>905</v>
      </c>
      <c r="O116" s="32" t="s">
        <v>1</v>
      </c>
      <c r="P116" s="32" t="s">
        <v>888</v>
      </c>
      <c r="Q116" s="269" t="s">
        <v>1</v>
      </c>
      <c r="R116" s="269"/>
      <c r="S116" s="45">
        <v>1</v>
      </c>
    </row>
    <row r="117" spans="1:19" ht="45" customHeight="1">
      <c r="A117" s="44">
        <f t="shared" si="1"/>
        <v>112</v>
      </c>
      <c r="B117" s="82" t="s">
        <v>602</v>
      </c>
      <c r="C117" s="82" t="s">
        <v>1</v>
      </c>
      <c r="D117" s="82" t="s">
        <v>978</v>
      </c>
      <c r="E117" s="82" t="s">
        <v>96</v>
      </c>
      <c r="F117" s="83" t="s">
        <v>71</v>
      </c>
      <c r="G117" s="83" t="s">
        <v>48</v>
      </c>
      <c r="H117" s="84" t="s">
        <v>1</v>
      </c>
      <c r="I117" s="84" t="s">
        <v>1</v>
      </c>
      <c r="J117" s="85" t="s">
        <v>93</v>
      </c>
      <c r="K117" s="85" t="s">
        <v>1255</v>
      </c>
      <c r="L117" s="86">
        <v>1</v>
      </c>
      <c r="M117" s="85" t="s">
        <v>65</v>
      </c>
      <c r="N117" s="83" t="s">
        <v>903</v>
      </c>
      <c r="O117" s="83" t="s">
        <v>1</v>
      </c>
      <c r="P117" s="83" t="s">
        <v>894</v>
      </c>
      <c r="Q117" s="275" t="s">
        <v>1</v>
      </c>
      <c r="R117" s="275"/>
      <c r="S117" s="87">
        <v>1</v>
      </c>
    </row>
    <row r="118" spans="1:19" s="41" customFormat="1" ht="45" customHeight="1">
      <c r="A118" s="44">
        <f t="shared" si="1"/>
        <v>113</v>
      </c>
      <c r="B118" s="82" t="s">
        <v>603</v>
      </c>
      <c r="C118" s="31" t="s">
        <v>1</v>
      </c>
      <c r="D118" s="31" t="s">
        <v>978</v>
      </c>
      <c r="E118" s="31" t="s">
        <v>290</v>
      </c>
      <c r="F118" s="32" t="s">
        <v>82</v>
      </c>
      <c r="G118" s="32" t="s">
        <v>83</v>
      </c>
      <c r="H118" s="33" t="s">
        <v>1</v>
      </c>
      <c r="I118" s="33" t="s">
        <v>1</v>
      </c>
      <c r="J118" s="34" t="s">
        <v>93</v>
      </c>
      <c r="K118" s="34" t="s">
        <v>413</v>
      </c>
      <c r="L118" s="35">
        <v>1</v>
      </c>
      <c r="M118" s="34" t="s">
        <v>65</v>
      </c>
      <c r="N118" s="32" t="s">
        <v>903</v>
      </c>
      <c r="O118" s="32" t="s">
        <v>1</v>
      </c>
      <c r="P118" s="32" t="s">
        <v>896</v>
      </c>
      <c r="Q118" s="269" t="s">
        <v>1</v>
      </c>
      <c r="R118" s="269"/>
      <c r="S118" s="45">
        <v>1</v>
      </c>
    </row>
    <row r="119" spans="1:19" s="41" customFormat="1" ht="45" customHeight="1">
      <c r="A119" s="44">
        <f t="shared" si="1"/>
        <v>114</v>
      </c>
      <c r="B119" s="82" t="s">
        <v>604</v>
      </c>
      <c r="C119" s="31" t="s">
        <v>1</v>
      </c>
      <c r="D119" s="31" t="s">
        <v>978</v>
      </c>
      <c r="E119" s="31" t="s">
        <v>291</v>
      </c>
      <c r="F119" s="32" t="s">
        <v>82</v>
      </c>
      <c r="G119" s="32" t="s">
        <v>83</v>
      </c>
      <c r="H119" s="33" t="s">
        <v>1</v>
      </c>
      <c r="I119" s="33" t="s">
        <v>1</v>
      </c>
      <c r="J119" s="34" t="s">
        <v>93</v>
      </c>
      <c r="K119" s="34" t="s">
        <v>413</v>
      </c>
      <c r="L119" s="35">
        <v>1</v>
      </c>
      <c r="M119" s="34" t="s">
        <v>65</v>
      </c>
      <c r="N119" s="32" t="s">
        <v>903</v>
      </c>
      <c r="O119" s="32" t="s">
        <v>1</v>
      </c>
      <c r="P119" s="32" t="s">
        <v>896</v>
      </c>
      <c r="Q119" s="269" t="s">
        <v>1</v>
      </c>
      <c r="R119" s="269"/>
      <c r="S119" s="45">
        <v>1</v>
      </c>
    </row>
    <row r="120" spans="1:19" s="41" customFormat="1" ht="45" customHeight="1">
      <c r="A120" s="44">
        <f t="shared" si="1"/>
        <v>115</v>
      </c>
      <c r="B120" s="82" t="s">
        <v>605</v>
      </c>
      <c r="C120" s="31" t="s">
        <v>1173</v>
      </c>
      <c r="D120" s="31" t="s">
        <v>978</v>
      </c>
      <c r="E120" s="31" t="s">
        <v>292</v>
      </c>
      <c r="F120" s="32" t="s">
        <v>29</v>
      </c>
      <c r="G120" s="32" t="s">
        <v>48</v>
      </c>
      <c r="H120" s="33" t="s">
        <v>1</v>
      </c>
      <c r="I120" s="33" t="s">
        <v>1</v>
      </c>
      <c r="J120" s="268" t="s">
        <v>1140</v>
      </c>
      <c r="K120" s="268" t="s">
        <v>1087</v>
      </c>
      <c r="L120" s="270">
        <v>1</v>
      </c>
      <c r="M120" s="268" t="s">
        <v>52</v>
      </c>
      <c r="N120" s="271" t="s">
        <v>903</v>
      </c>
      <c r="O120" s="271" t="s">
        <v>1</v>
      </c>
      <c r="P120" s="271" t="s">
        <v>1</v>
      </c>
      <c r="Q120" s="269" t="s">
        <v>1239</v>
      </c>
      <c r="R120" s="269"/>
      <c r="S120" s="273">
        <v>1</v>
      </c>
    </row>
    <row r="121" spans="1:19" s="41" customFormat="1" ht="45" customHeight="1">
      <c r="A121" s="44">
        <f t="shared" si="1"/>
        <v>116</v>
      </c>
      <c r="B121" s="82" t="s">
        <v>606</v>
      </c>
      <c r="C121" s="31" t="s">
        <v>1173</v>
      </c>
      <c r="D121" s="31" t="s">
        <v>978</v>
      </c>
      <c r="E121" s="31" t="s">
        <v>384</v>
      </c>
      <c r="F121" s="32" t="s">
        <v>29</v>
      </c>
      <c r="G121" s="32" t="s">
        <v>48</v>
      </c>
      <c r="H121" s="33" t="s">
        <v>1</v>
      </c>
      <c r="I121" s="33" t="s">
        <v>1</v>
      </c>
      <c r="J121" s="268"/>
      <c r="K121" s="268"/>
      <c r="L121" s="270"/>
      <c r="M121" s="268"/>
      <c r="N121" s="271"/>
      <c r="O121" s="271"/>
      <c r="P121" s="271"/>
      <c r="Q121" s="269"/>
      <c r="R121" s="269"/>
      <c r="S121" s="273"/>
    </row>
    <row r="122" spans="1:19" s="41" customFormat="1" ht="45" customHeight="1">
      <c r="A122" s="44">
        <f t="shared" si="1"/>
        <v>117</v>
      </c>
      <c r="B122" s="82" t="s">
        <v>607</v>
      </c>
      <c r="C122" s="31" t="s">
        <v>177</v>
      </c>
      <c r="D122" s="31" t="s">
        <v>978</v>
      </c>
      <c r="E122" s="31" t="s">
        <v>293</v>
      </c>
      <c r="F122" s="32" t="s">
        <v>143</v>
      </c>
      <c r="G122" s="32" t="s">
        <v>48</v>
      </c>
      <c r="H122" s="33" t="s">
        <v>1</v>
      </c>
      <c r="I122" s="33" t="s">
        <v>1</v>
      </c>
      <c r="J122" s="34" t="s">
        <v>1088</v>
      </c>
      <c r="K122" s="34" t="s">
        <v>1082</v>
      </c>
      <c r="L122" s="35">
        <v>1</v>
      </c>
      <c r="M122" s="34" t="s">
        <v>52</v>
      </c>
      <c r="N122" s="32" t="s">
        <v>903</v>
      </c>
      <c r="O122" s="32" t="s">
        <v>1</v>
      </c>
      <c r="P122" s="32" t="s">
        <v>1</v>
      </c>
      <c r="Q122" s="269" t="s">
        <v>1</v>
      </c>
      <c r="R122" s="269"/>
      <c r="S122" s="45">
        <v>1</v>
      </c>
    </row>
    <row r="123" spans="1:19" s="41" customFormat="1" ht="45" customHeight="1">
      <c r="A123" s="44">
        <f t="shared" si="1"/>
        <v>118</v>
      </c>
      <c r="B123" s="82" t="s">
        <v>1165</v>
      </c>
      <c r="C123" s="31" t="s">
        <v>323</v>
      </c>
      <c r="D123" s="31" t="s">
        <v>978</v>
      </c>
      <c r="E123" s="31" t="s">
        <v>322</v>
      </c>
      <c r="F123" s="32" t="s">
        <v>31</v>
      </c>
      <c r="G123" s="32" t="s">
        <v>83</v>
      </c>
      <c r="H123" s="33" t="s">
        <v>972</v>
      </c>
      <c r="I123" s="33" t="s">
        <v>973</v>
      </c>
      <c r="J123" s="34" t="s">
        <v>1083</v>
      </c>
      <c r="K123" s="34" t="s">
        <v>1084</v>
      </c>
      <c r="L123" s="35">
        <v>1</v>
      </c>
      <c r="M123" s="34" t="s">
        <v>52</v>
      </c>
      <c r="N123" s="32" t="s">
        <v>903</v>
      </c>
      <c r="O123" s="32" t="s">
        <v>1</v>
      </c>
      <c r="P123" s="32" t="s">
        <v>1</v>
      </c>
      <c r="Q123" s="269" t="s">
        <v>1</v>
      </c>
      <c r="R123" s="269"/>
      <c r="S123" s="45">
        <v>1</v>
      </c>
    </row>
    <row r="124" spans="1:19" s="41" customFormat="1" ht="45" customHeight="1">
      <c r="A124" s="44">
        <f t="shared" si="1"/>
        <v>119</v>
      </c>
      <c r="B124" s="82" t="s">
        <v>608</v>
      </c>
      <c r="C124" s="31" t="s">
        <v>179</v>
      </c>
      <c r="D124" s="31" t="s">
        <v>978</v>
      </c>
      <c r="E124" s="31" t="s">
        <v>320</v>
      </c>
      <c r="F124" s="32" t="s">
        <v>88</v>
      </c>
      <c r="G124" s="32" t="s">
        <v>89</v>
      </c>
      <c r="H124" s="64" t="s">
        <v>451</v>
      </c>
      <c r="I124" s="33" t="s">
        <v>250</v>
      </c>
      <c r="J124" s="34" t="s">
        <v>1083</v>
      </c>
      <c r="K124" s="34" t="s">
        <v>1085</v>
      </c>
      <c r="L124" s="35">
        <v>1</v>
      </c>
      <c r="M124" s="34" t="s">
        <v>52</v>
      </c>
      <c r="N124" s="32" t="s">
        <v>903</v>
      </c>
      <c r="O124" s="32" t="s">
        <v>1</v>
      </c>
      <c r="P124" s="32" t="s">
        <v>1</v>
      </c>
      <c r="Q124" s="269" t="s">
        <v>1</v>
      </c>
      <c r="R124" s="269"/>
      <c r="S124" s="45">
        <v>1</v>
      </c>
    </row>
    <row r="125" spans="1:19" s="41" customFormat="1" ht="45" customHeight="1">
      <c r="A125" s="44">
        <f t="shared" si="1"/>
        <v>120</v>
      </c>
      <c r="B125" s="82" t="s">
        <v>609</v>
      </c>
      <c r="C125" s="31" t="s">
        <v>180</v>
      </c>
      <c r="D125" s="31" t="s">
        <v>978</v>
      </c>
      <c r="E125" s="31" t="s">
        <v>319</v>
      </c>
      <c r="F125" s="32" t="s">
        <v>88</v>
      </c>
      <c r="G125" s="32" t="s">
        <v>89</v>
      </c>
      <c r="H125" s="64" t="s">
        <v>451</v>
      </c>
      <c r="I125" s="33" t="s">
        <v>250</v>
      </c>
      <c r="J125" s="34" t="s">
        <v>1083</v>
      </c>
      <c r="K125" s="34" t="s">
        <v>1085</v>
      </c>
      <c r="L125" s="35">
        <v>1</v>
      </c>
      <c r="M125" s="34" t="s">
        <v>52</v>
      </c>
      <c r="N125" s="32" t="s">
        <v>903</v>
      </c>
      <c r="O125" s="32" t="s">
        <v>1</v>
      </c>
      <c r="P125" s="32" t="s">
        <v>1</v>
      </c>
      <c r="Q125" s="269" t="s">
        <v>1</v>
      </c>
      <c r="R125" s="269"/>
      <c r="S125" s="45">
        <v>1</v>
      </c>
    </row>
    <row r="126" spans="1:19" s="41" customFormat="1" ht="45" customHeight="1">
      <c r="A126" s="44">
        <f t="shared" si="1"/>
        <v>121</v>
      </c>
      <c r="B126" s="82" t="s">
        <v>610</v>
      </c>
      <c r="C126" s="31" t="s">
        <v>1</v>
      </c>
      <c r="D126" s="31" t="s">
        <v>978</v>
      </c>
      <c r="E126" s="31" t="s">
        <v>302</v>
      </c>
      <c r="F126" s="32" t="s">
        <v>50</v>
      </c>
      <c r="G126" s="32" t="s">
        <v>48</v>
      </c>
      <c r="H126" s="33" t="s">
        <v>1</v>
      </c>
      <c r="I126" s="33" t="s">
        <v>1</v>
      </c>
      <c r="J126" s="34" t="s">
        <v>422</v>
      </c>
      <c r="K126" s="34" t="s">
        <v>423</v>
      </c>
      <c r="L126" s="35">
        <v>1</v>
      </c>
      <c r="M126" s="34" t="s">
        <v>65</v>
      </c>
      <c r="N126" s="32" t="s">
        <v>903</v>
      </c>
      <c r="O126" s="32" t="s">
        <v>1</v>
      </c>
      <c r="P126" s="32" t="s">
        <v>901</v>
      </c>
      <c r="Q126" s="269" t="s">
        <v>1</v>
      </c>
      <c r="R126" s="269"/>
      <c r="S126" s="45">
        <v>1</v>
      </c>
    </row>
    <row r="127" spans="1:19" s="41" customFormat="1" ht="45" customHeight="1">
      <c r="A127" s="44">
        <f t="shared" si="1"/>
        <v>122</v>
      </c>
      <c r="B127" s="82" t="s">
        <v>1166</v>
      </c>
      <c r="C127" s="31" t="s">
        <v>178</v>
      </c>
      <c r="D127" s="31" t="s">
        <v>978</v>
      </c>
      <c r="E127" s="31" t="s">
        <v>321</v>
      </c>
      <c r="F127" s="32" t="s">
        <v>31</v>
      </c>
      <c r="G127" s="32" t="s">
        <v>83</v>
      </c>
      <c r="H127" s="33" t="s">
        <v>972</v>
      </c>
      <c r="I127" s="33" t="s">
        <v>973</v>
      </c>
      <c r="J127" s="34" t="s">
        <v>1083</v>
      </c>
      <c r="K127" s="34" t="s">
        <v>1086</v>
      </c>
      <c r="L127" s="35">
        <v>1</v>
      </c>
      <c r="M127" s="34" t="s">
        <v>52</v>
      </c>
      <c r="N127" s="32" t="s">
        <v>903</v>
      </c>
      <c r="O127" s="32" t="s">
        <v>1</v>
      </c>
      <c r="P127" s="32" t="s">
        <v>1</v>
      </c>
      <c r="Q127" s="269" t="s">
        <v>1</v>
      </c>
      <c r="R127" s="269"/>
      <c r="S127" s="45">
        <v>1</v>
      </c>
    </row>
    <row r="128" spans="1:19" s="41" customFormat="1" ht="45" customHeight="1">
      <c r="A128" s="44">
        <f t="shared" si="1"/>
        <v>123</v>
      </c>
      <c r="B128" s="82" t="s">
        <v>1167</v>
      </c>
      <c r="C128" s="31" t="s">
        <v>1172</v>
      </c>
      <c r="D128" s="31" t="s">
        <v>978</v>
      </c>
      <c r="E128" s="31" t="s">
        <v>321</v>
      </c>
      <c r="F128" s="32" t="s">
        <v>31</v>
      </c>
      <c r="G128" s="32" t="s">
        <v>83</v>
      </c>
      <c r="H128" s="33" t="s">
        <v>972</v>
      </c>
      <c r="I128" s="33" t="s">
        <v>974</v>
      </c>
      <c r="J128" s="34" t="s">
        <v>1083</v>
      </c>
      <c r="K128" s="34" t="s">
        <v>1086</v>
      </c>
      <c r="L128" s="35">
        <v>1</v>
      </c>
      <c r="M128" s="34" t="s">
        <v>52</v>
      </c>
      <c r="N128" s="32" t="s">
        <v>903</v>
      </c>
      <c r="O128" s="32" t="s">
        <v>1</v>
      </c>
      <c r="P128" s="32" t="s">
        <v>1</v>
      </c>
      <c r="Q128" s="269" t="s">
        <v>1</v>
      </c>
      <c r="R128" s="269"/>
      <c r="S128" s="45">
        <v>1</v>
      </c>
    </row>
    <row r="129" spans="1:19" ht="45" customHeight="1">
      <c r="A129" s="44">
        <f t="shared" si="1"/>
        <v>124</v>
      </c>
      <c r="B129" s="82" t="s">
        <v>611</v>
      </c>
      <c r="C129" s="82" t="s">
        <v>1</v>
      </c>
      <c r="D129" s="82" t="s">
        <v>979</v>
      </c>
      <c r="E129" s="82" t="s">
        <v>96</v>
      </c>
      <c r="F129" s="83" t="s">
        <v>71</v>
      </c>
      <c r="G129" s="83" t="s">
        <v>48</v>
      </c>
      <c r="H129" s="84" t="s">
        <v>1</v>
      </c>
      <c r="I129" s="84" t="s">
        <v>1</v>
      </c>
      <c r="J129" s="85" t="s">
        <v>93</v>
      </c>
      <c r="K129" s="85" t="s">
        <v>1255</v>
      </c>
      <c r="L129" s="86">
        <v>1</v>
      </c>
      <c r="M129" s="85" t="s">
        <v>65</v>
      </c>
      <c r="N129" s="83" t="s">
        <v>906</v>
      </c>
      <c r="O129" s="83" t="s">
        <v>1</v>
      </c>
      <c r="P129" s="83" t="s">
        <v>894</v>
      </c>
      <c r="Q129" s="275" t="s">
        <v>1</v>
      </c>
      <c r="R129" s="275"/>
      <c r="S129" s="87">
        <v>1</v>
      </c>
    </row>
    <row r="130" spans="1:19" s="41" customFormat="1" ht="45" customHeight="1">
      <c r="A130" s="44">
        <f t="shared" si="1"/>
        <v>125</v>
      </c>
      <c r="B130" s="82" t="s">
        <v>612</v>
      </c>
      <c r="C130" s="31" t="s">
        <v>1</v>
      </c>
      <c r="D130" s="31" t="s">
        <v>979</v>
      </c>
      <c r="E130" s="31" t="s">
        <v>290</v>
      </c>
      <c r="F130" s="32" t="s">
        <v>82</v>
      </c>
      <c r="G130" s="32" t="s">
        <v>83</v>
      </c>
      <c r="H130" s="33" t="s">
        <v>1</v>
      </c>
      <c r="I130" s="33" t="s">
        <v>1</v>
      </c>
      <c r="J130" s="34" t="s">
        <v>93</v>
      </c>
      <c r="K130" s="34" t="s">
        <v>413</v>
      </c>
      <c r="L130" s="35">
        <v>1</v>
      </c>
      <c r="M130" s="34" t="s">
        <v>65</v>
      </c>
      <c r="N130" s="32" t="s">
        <v>906</v>
      </c>
      <c r="O130" s="32" t="s">
        <v>1</v>
      </c>
      <c r="P130" s="32" t="s">
        <v>896</v>
      </c>
      <c r="Q130" s="269" t="s">
        <v>1</v>
      </c>
      <c r="R130" s="269"/>
      <c r="S130" s="45">
        <v>1</v>
      </c>
    </row>
    <row r="131" spans="1:19" s="41" customFormat="1" ht="45" customHeight="1">
      <c r="A131" s="44">
        <f t="shared" si="1"/>
        <v>126</v>
      </c>
      <c r="B131" s="82" t="s">
        <v>613</v>
      </c>
      <c r="C131" s="31" t="s">
        <v>1</v>
      </c>
      <c r="D131" s="31" t="s">
        <v>979</v>
      </c>
      <c r="E131" s="31" t="s">
        <v>291</v>
      </c>
      <c r="F131" s="32" t="s">
        <v>82</v>
      </c>
      <c r="G131" s="32" t="s">
        <v>83</v>
      </c>
      <c r="H131" s="33" t="s">
        <v>1</v>
      </c>
      <c r="I131" s="33" t="s">
        <v>1</v>
      </c>
      <c r="J131" s="34" t="s">
        <v>93</v>
      </c>
      <c r="K131" s="34" t="s">
        <v>413</v>
      </c>
      <c r="L131" s="35">
        <v>1</v>
      </c>
      <c r="M131" s="34" t="s">
        <v>65</v>
      </c>
      <c r="N131" s="32" t="s">
        <v>906</v>
      </c>
      <c r="O131" s="32" t="s">
        <v>1</v>
      </c>
      <c r="P131" s="32" t="s">
        <v>896</v>
      </c>
      <c r="Q131" s="269" t="s">
        <v>1</v>
      </c>
      <c r="R131" s="269"/>
      <c r="S131" s="45">
        <v>1</v>
      </c>
    </row>
    <row r="132" spans="1:19" s="41" customFormat="1" ht="45" customHeight="1">
      <c r="A132" s="44">
        <f t="shared" si="1"/>
        <v>127</v>
      </c>
      <c r="B132" s="82" t="s">
        <v>614</v>
      </c>
      <c r="C132" s="31" t="s">
        <v>1</v>
      </c>
      <c r="D132" s="31" t="s">
        <v>979</v>
      </c>
      <c r="E132" s="31" t="s">
        <v>292</v>
      </c>
      <c r="F132" s="32" t="s">
        <v>29</v>
      </c>
      <c r="G132" s="32" t="s">
        <v>48</v>
      </c>
      <c r="H132" s="33" t="s">
        <v>1</v>
      </c>
      <c r="I132" s="33" t="s">
        <v>1</v>
      </c>
      <c r="J132" s="268" t="s">
        <v>1140</v>
      </c>
      <c r="K132" s="268" t="s">
        <v>1087</v>
      </c>
      <c r="L132" s="270">
        <v>1</v>
      </c>
      <c r="M132" s="268" t="s">
        <v>52</v>
      </c>
      <c r="N132" s="271" t="s">
        <v>906</v>
      </c>
      <c r="O132" s="271" t="s">
        <v>1</v>
      </c>
      <c r="P132" s="271" t="s">
        <v>1</v>
      </c>
      <c r="Q132" s="269" t="s">
        <v>1239</v>
      </c>
      <c r="R132" s="269"/>
      <c r="S132" s="273">
        <v>1</v>
      </c>
    </row>
    <row r="133" spans="1:19" s="41" customFormat="1" ht="45" customHeight="1">
      <c r="A133" s="44">
        <f t="shared" si="1"/>
        <v>128</v>
      </c>
      <c r="B133" s="82" t="s">
        <v>615</v>
      </c>
      <c r="C133" s="31" t="s">
        <v>1</v>
      </c>
      <c r="D133" s="31" t="s">
        <v>979</v>
      </c>
      <c r="E133" s="31" t="s">
        <v>289</v>
      </c>
      <c r="F133" s="32" t="s">
        <v>29</v>
      </c>
      <c r="G133" s="32" t="s">
        <v>48</v>
      </c>
      <c r="H133" s="33" t="s">
        <v>1</v>
      </c>
      <c r="I133" s="33" t="s">
        <v>1</v>
      </c>
      <c r="J133" s="268"/>
      <c r="K133" s="268"/>
      <c r="L133" s="270"/>
      <c r="M133" s="268"/>
      <c r="N133" s="271"/>
      <c r="O133" s="271"/>
      <c r="P133" s="271"/>
      <c r="Q133" s="269"/>
      <c r="R133" s="269"/>
      <c r="S133" s="273"/>
    </row>
    <row r="134" spans="1:19" s="65" customFormat="1" ht="45" customHeight="1">
      <c r="A134" s="44">
        <f t="shared" si="1"/>
        <v>129</v>
      </c>
      <c r="B134" s="82" t="s">
        <v>616</v>
      </c>
      <c r="C134" s="31" t="s">
        <v>181</v>
      </c>
      <c r="D134" s="31" t="s">
        <v>979</v>
      </c>
      <c r="E134" s="31" t="s">
        <v>293</v>
      </c>
      <c r="F134" s="32" t="s">
        <v>143</v>
      </c>
      <c r="G134" s="32" t="s">
        <v>48</v>
      </c>
      <c r="H134" s="33" t="s">
        <v>1</v>
      </c>
      <c r="I134" s="33" t="s">
        <v>1</v>
      </c>
      <c r="J134" s="34" t="s">
        <v>1088</v>
      </c>
      <c r="K134" s="34" t="s">
        <v>1082</v>
      </c>
      <c r="L134" s="35">
        <v>1</v>
      </c>
      <c r="M134" s="34" t="s">
        <v>52</v>
      </c>
      <c r="N134" s="32" t="s">
        <v>906</v>
      </c>
      <c r="O134" s="32" t="s">
        <v>1</v>
      </c>
      <c r="P134" s="32" t="s">
        <v>1</v>
      </c>
      <c r="Q134" s="269" t="s">
        <v>1</v>
      </c>
      <c r="R134" s="269"/>
      <c r="S134" s="45">
        <v>1</v>
      </c>
    </row>
    <row r="135" spans="1:19" s="41" customFormat="1" ht="45" customHeight="1">
      <c r="A135" s="44">
        <f t="shared" si="1"/>
        <v>130</v>
      </c>
      <c r="B135" s="82" t="s">
        <v>1168</v>
      </c>
      <c r="C135" s="31" t="s">
        <v>182</v>
      </c>
      <c r="D135" s="31" t="s">
        <v>979</v>
      </c>
      <c r="E135" s="31" t="s">
        <v>322</v>
      </c>
      <c r="F135" s="32" t="s">
        <v>31</v>
      </c>
      <c r="G135" s="32" t="s">
        <v>83</v>
      </c>
      <c r="H135" s="33" t="s">
        <v>972</v>
      </c>
      <c r="I135" s="33" t="s">
        <v>973</v>
      </c>
      <c r="J135" s="34" t="s">
        <v>1083</v>
      </c>
      <c r="K135" s="34" t="s">
        <v>1086</v>
      </c>
      <c r="L135" s="35">
        <v>1</v>
      </c>
      <c r="M135" s="34" t="s">
        <v>52</v>
      </c>
      <c r="N135" s="32" t="s">
        <v>906</v>
      </c>
      <c r="O135" s="32" t="s">
        <v>1</v>
      </c>
      <c r="P135" s="32" t="s">
        <v>1</v>
      </c>
      <c r="Q135" s="269" t="s">
        <v>1</v>
      </c>
      <c r="R135" s="269"/>
      <c r="S135" s="45">
        <v>1</v>
      </c>
    </row>
    <row r="136" spans="1:19" s="41" customFormat="1" ht="45" customHeight="1">
      <c r="A136" s="44">
        <f t="shared" ref="A136:A199" si="2">A135+1</f>
        <v>131</v>
      </c>
      <c r="B136" s="82" t="s">
        <v>617</v>
      </c>
      <c r="C136" s="31" t="s">
        <v>184</v>
      </c>
      <c r="D136" s="31" t="s">
        <v>979</v>
      </c>
      <c r="E136" s="31" t="s">
        <v>320</v>
      </c>
      <c r="F136" s="32" t="s">
        <v>88</v>
      </c>
      <c r="G136" s="32" t="s">
        <v>89</v>
      </c>
      <c r="H136" s="33" t="s">
        <v>113</v>
      </c>
      <c r="I136" s="33" t="s">
        <v>318</v>
      </c>
      <c r="J136" s="34" t="s">
        <v>1083</v>
      </c>
      <c r="K136" s="34" t="s">
        <v>1085</v>
      </c>
      <c r="L136" s="35">
        <v>1</v>
      </c>
      <c r="M136" s="34" t="s">
        <v>52</v>
      </c>
      <c r="N136" s="32" t="s">
        <v>906</v>
      </c>
      <c r="O136" s="32" t="s">
        <v>1</v>
      </c>
      <c r="P136" s="32" t="s">
        <v>1</v>
      </c>
      <c r="Q136" s="269" t="s">
        <v>1</v>
      </c>
      <c r="R136" s="269"/>
      <c r="S136" s="45">
        <v>1</v>
      </c>
    </row>
    <row r="137" spans="1:19" s="41" customFormat="1" ht="45" customHeight="1">
      <c r="A137" s="44">
        <f t="shared" si="2"/>
        <v>132</v>
      </c>
      <c r="B137" s="82" t="s">
        <v>618</v>
      </c>
      <c r="C137" s="31" t="s">
        <v>185</v>
      </c>
      <c r="D137" s="31" t="s">
        <v>979</v>
      </c>
      <c r="E137" s="31" t="s">
        <v>319</v>
      </c>
      <c r="F137" s="32" t="s">
        <v>88</v>
      </c>
      <c r="G137" s="32" t="s">
        <v>89</v>
      </c>
      <c r="H137" s="33" t="s">
        <v>113</v>
      </c>
      <c r="I137" s="33" t="s">
        <v>318</v>
      </c>
      <c r="J137" s="34" t="s">
        <v>1083</v>
      </c>
      <c r="K137" s="34" t="s">
        <v>1085</v>
      </c>
      <c r="L137" s="35">
        <v>1</v>
      </c>
      <c r="M137" s="34" t="s">
        <v>52</v>
      </c>
      <c r="N137" s="32" t="s">
        <v>906</v>
      </c>
      <c r="O137" s="32" t="s">
        <v>1</v>
      </c>
      <c r="P137" s="32" t="s">
        <v>1</v>
      </c>
      <c r="Q137" s="269" t="s">
        <v>1</v>
      </c>
      <c r="R137" s="269"/>
      <c r="S137" s="45">
        <v>1</v>
      </c>
    </row>
    <row r="138" spans="1:19" s="41" customFormat="1" ht="45" customHeight="1">
      <c r="A138" s="44">
        <f t="shared" si="2"/>
        <v>133</v>
      </c>
      <c r="B138" s="82" t="s">
        <v>619</v>
      </c>
      <c r="C138" s="31" t="s">
        <v>1</v>
      </c>
      <c r="D138" s="31" t="s">
        <v>979</v>
      </c>
      <c r="E138" s="31" t="s">
        <v>302</v>
      </c>
      <c r="F138" s="32" t="s">
        <v>50</v>
      </c>
      <c r="G138" s="32" t="s">
        <v>48</v>
      </c>
      <c r="H138" s="33" t="s">
        <v>1</v>
      </c>
      <c r="I138" s="33" t="s">
        <v>1</v>
      </c>
      <c r="J138" s="34" t="s">
        <v>422</v>
      </c>
      <c r="K138" s="34" t="s">
        <v>423</v>
      </c>
      <c r="L138" s="35">
        <v>1</v>
      </c>
      <c r="M138" s="34" t="s">
        <v>65</v>
      </c>
      <c r="N138" s="32" t="s">
        <v>906</v>
      </c>
      <c r="O138" s="32" t="s">
        <v>1</v>
      </c>
      <c r="P138" s="32" t="s">
        <v>901</v>
      </c>
      <c r="Q138" s="269" t="s">
        <v>1</v>
      </c>
      <c r="R138" s="269"/>
      <c r="S138" s="45">
        <v>1</v>
      </c>
    </row>
    <row r="139" spans="1:19" s="41" customFormat="1" ht="45" customHeight="1">
      <c r="A139" s="44">
        <f t="shared" si="2"/>
        <v>134</v>
      </c>
      <c r="B139" s="82" t="s">
        <v>1169</v>
      </c>
      <c r="C139" s="31" t="s">
        <v>183</v>
      </c>
      <c r="D139" s="31" t="s">
        <v>979</v>
      </c>
      <c r="E139" s="31" t="s">
        <v>321</v>
      </c>
      <c r="F139" s="32" t="s">
        <v>31</v>
      </c>
      <c r="G139" s="32" t="s">
        <v>83</v>
      </c>
      <c r="H139" s="33" t="s">
        <v>972</v>
      </c>
      <c r="I139" s="33" t="s">
        <v>973</v>
      </c>
      <c r="J139" s="34" t="s">
        <v>1083</v>
      </c>
      <c r="K139" s="34" t="s">
        <v>1086</v>
      </c>
      <c r="L139" s="35">
        <v>1</v>
      </c>
      <c r="M139" s="34" t="s">
        <v>52</v>
      </c>
      <c r="N139" s="32" t="s">
        <v>906</v>
      </c>
      <c r="O139" s="32" t="s">
        <v>1</v>
      </c>
      <c r="P139" s="32" t="s">
        <v>1</v>
      </c>
      <c r="Q139" s="269" t="s">
        <v>1</v>
      </c>
      <c r="R139" s="269"/>
      <c r="S139" s="45">
        <v>1</v>
      </c>
    </row>
    <row r="140" spans="1:19" s="41" customFormat="1" ht="45" customHeight="1">
      <c r="A140" s="44">
        <f t="shared" si="2"/>
        <v>135</v>
      </c>
      <c r="B140" s="82" t="s">
        <v>1170</v>
      </c>
      <c r="C140" s="31" t="s">
        <v>1171</v>
      </c>
      <c r="D140" s="31" t="s">
        <v>979</v>
      </c>
      <c r="E140" s="31" t="s">
        <v>321</v>
      </c>
      <c r="F140" s="32" t="s">
        <v>31</v>
      </c>
      <c r="G140" s="32" t="s">
        <v>83</v>
      </c>
      <c r="H140" s="33" t="s">
        <v>972</v>
      </c>
      <c r="I140" s="33" t="s">
        <v>974</v>
      </c>
      <c r="J140" s="34" t="s">
        <v>1083</v>
      </c>
      <c r="K140" s="34" t="s">
        <v>1086</v>
      </c>
      <c r="L140" s="35">
        <v>1</v>
      </c>
      <c r="M140" s="34" t="s">
        <v>52</v>
      </c>
      <c r="N140" s="32" t="s">
        <v>906</v>
      </c>
      <c r="O140" s="32" t="s">
        <v>1</v>
      </c>
      <c r="P140" s="32" t="s">
        <v>1</v>
      </c>
      <c r="Q140" s="269" t="s">
        <v>1</v>
      </c>
      <c r="R140" s="269"/>
      <c r="S140" s="45">
        <v>1</v>
      </c>
    </row>
    <row r="141" spans="1:19" s="41" customFormat="1" ht="45" customHeight="1">
      <c r="A141" s="44">
        <f t="shared" si="2"/>
        <v>136</v>
      </c>
      <c r="B141" s="82" t="s">
        <v>634</v>
      </c>
      <c r="C141" s="31" t="s">
        <v>1</v>
      </c>
      <c r="D141" s="31" t="s">
        <v>621</v>
      </c>
      <c r="E141" s="31" t="s">
        <v>436</v>
      </c>
      <c r="F141" s="32" t="s">
        <v>437</v>
      </c>
      <c r="G141" s="32" t="s">
        <v>83</v>
      </c>
      <c r="H141" s="33" t="s">
        <v>1</v>
      </c>
      <c r="I141" s="33" t="s">
        <v>1</v>
      </c>
      <c r="J141" s="34" t="s">
        <v>93</v>
      </c>
      <c r="K141" s="34" t="s">
        <v>446</v>
      </c>
      <c r="L141" s="35">
        <v>1</v>
      </c>
      <c r="M141" s="34" t="s">
        <v>65</v>
      </c>
      <c r="N141" s="32" t="s">
        <v>905</v>
      </c>
      <c r="O141" s="32" t="s">
        <v>1</v>
      </c>
      <c r="P141" s="32" t="s">
        <v>900</v>
      </c>
      <c r="Q141" s="269" t="s">
        <v>1</v>
      </c>
      <c r="R141" s="269"/>
      <c r="S141" s="45">
        <v>1</v>
      </c>
    </row>
    <row r="142" spans="1:19" ht="45" customHeight="1">
      <c r="A142" s="44">
        <f t="shared" si="2"/>
        <v>137</v>
      </c>
      <c r="B142" s="82" t="s">
        <v>620</v>
      </c>
      <c r="C142" s="82" t="s">
        <v>1</v>
      </c>
      <c r="D142" s="82" t="s">
        <v>621</v>
      </c>
      <c r="E142" s="82" t="s">
        <v>96</v>
      </c>
      <c r="F142" s="83" t="s">
        <v>71</v>
      </c>
      <c r="G142" s="83" t="s">
        <v>48</v>
      </c>
      <c r="H142" s="84" t="s">
        <v>1</v>
      </c>
      <c r="I142" s="84" t="s">
        <v>1</v>
      </c>
      <c r="J142" s="85" t="s">
        <v>93</v>
      </c>
      <c r="K142" s="85" t="s">
        <v>1255</v>
      </c>
      <c r="L142" s="86">
        <v>1</v>
      </c>
      <c r="M142" s="85" t="s">
        <v>65</v>
      </c>
      <c r="N142" s="83" t="s">
        <v>905</v>
      </c>
      <c r="O142" s="83" t="s">
        <v>1</v>
      </c>
      <c r="P142" s="83" t="s">
        <v>894</v>
      </c>
      <c r="Q142" s="275" t="s">
        <v>1</v>
      </c>
      <c r="R142" s="275"/>
      <c r="S142" s="87">
        <v>1</v>
      </c>
    </row>
    <row r="143" spans="1:19" ht="45" customHeight="1">
      <c r="A143" s="44">
        <f t="shared" si="2"/>
        <v>138</v>
      </c>
      <c r="B143" s="82" t="s">
        <v>622</v>
      </c>
      <c r="C143" s="82" t="s">
        <v>1</v>
      </c>
      <c r="D143" s="82" t="s">
        <v>621</v>
      </c>
      <c r="E143" s="82" t="s">
        <v>97</v>
      </c>
      <c r="F143" s="83" t="s">
        <v>71</v>
      </c>
      <c r="G143" s="83" t="s">
        <v>48</v>
      </c>
      <c r="H143" s="84" t="s">
        <v>1</v>
      </c>
      <c r="I143" s="84" t="s">
        <v>1</v>
      </c>
      <c r="J143" s="85" t="s">
        <v>93</v>
      </c>
      <c r="K143" s="85" t="s">
        <v>1255</v>
      </c>
      <c r="L143" s="86">
        <v>1</v>
      </c>
      <c r="M143" s="85" t="s">
        <v>65</v>
      </c>
      <c r="N143" s="83" t="s">
        <v>905</v>
      </c>
      <c r="O143" s="83" t="s">
        <v>1</v>
      </c>
      <c r="P143" s="83" t="s">
        <v>894</v>
      </c>
      <c r="Q143" s="275" t="s">
        <v>1</v>
      </c>
      <c r="R143" s="275"/>
      <c r="S143" s="87">
        <v>1</v>
      </c>
    </row>
    <row r="144" spans="1:19" s="41" customFormat="1" ht="45" customHeight="1">
      <c r="A144" s="44">
        <f t="shared" si="2"/>
        <v>139</v>
      </c>
      <c r="B144" s="82" t="s">
        <v>623</v>
      </c>
      <c r="C144" s="31" t="s">
        <v>1</v>
      </c>
      <c r="D144" s="31" t="s">
        <v>621</v>
      </c>
      <c r="E144" s="31" t="s">
        <v>433</v>
      </c>
      <c r="F144" s="32" t="s">
        <v>82</v>
      </c>
      <c r="G144" s="32" t="s">
        <v>83</v>
      </c>
      <c r="H144" s="33" t="s">
        <v>1</v>
      </c>
      <c r="I144" s="33" t="s">
        <v>1</v>
      </c>
      <c r="J144" s="34" t="s">
        <v>454</v>
      </c>
      <c r="K144" s="34" t="s">
        <v>455</v>
      </c>
      <c r="L144" s="35">
        <v>1</v>
      </c>
      <c r="M144" s="34" t="s">
        <v>65</v>
      </c>
      <c r="N144" s="32" t="s">
        <v>905</v>
      </c>
      <c r="O144" s="32" t="s">
        <v>1</v>
      </c>
      <c r="P144" s="32" t="s">
        <v>896</v>
      </c>
      <c r="Q144" s="269" t="s">
        <v>1</v>
      </c>
      <c r="R144" s="269"/>
      <c r="S144" s="45">
        <v>1</v>
      </c>
    </row>
    <row r="145" spans="1:19" s="41" customFormat="1" ht="45" customHeight="1">
      <c r="A145" s="44">
        <f t="shared" si="2"/>
        <v>140</v>
      </c>
      <c r="B145" s="82" t="s">
        <v>624</v>
      </c>
      <c r="C145" s="31" t="s">
        <v>1</v>
      </c>
      <c r="D145" s="31" t="s">
        <v>621</v>
      </c>
      <c r="E145" s="31" t="s">
        <v>292</v>
      </c>
      <c r="F145" s="32" t="s">
        <v>29</v>
      </c>
      <c r="G145" s="32" t="s">
        <v>48</v>
      </c>
      <c r="H145" s="33" t="s">
        <v>1</v>
      </c>
      <c r="I145" s="33" t="s">
        <v>1</v>
      </c>
      <c r="J145" s="268" t="s">
        <v>1140</v>
      </c>
      <c r="K145" s="268" t="s">
        <v>1087</v>
      </c>
      <c r="L145" s="270">
        <v>1</v>
      </c>
      <c r="M145" s="268" t="s">
        <v>52</v>
      </c>
      <c r="N145" s="271" t="s">
        <v>905</v>
      </c>
      <c r="O145" s="271" t="s">
        <v>1</v>
      </c>
      <c r="P145" s="271" t="s">
        <v>1</v>
      </c>
      <c r="Q145" s="269" t="s">
        <v>1</v>
      </c>
      <c r="R145" s="269"/>
      <c r="S145" s="273">
        <v>1</v>
      </c>
    </row>
    <row r="146" spans="1:19" s="41" customFormat="1" ht="45" customHeight="1">
      <c r="A146" s="44">
        <f t="shared" si="2"/>
        <v>141</v>
      </c>
      <c r="B146" s="82" t="s">
        <v>625</v>
      </c>
      <c r="C146" s="31" t="s">
        <v>1</v>
      </c>
      <c r="D146" s="31" t="s">
        <v>621</v>
      </c>
      <c r="E146" s="31" t="s">
        <v>289</v>
      </c>
      <c r="F146" s="32" t="s">
        <v>29</v>
      </c>
      <c r="G146" s="32" t="s">
        <v>48</v>
      </c>
      <c r="H146" s="33" t="s">
        <v>1</v>
      </c>
      <c r="I146" s="33" t="s">
        <v>1</v>
      </c>
      <c r="J146" s="268"/>
      <c r="K146" s="268"/>
      <c r="L146" s="270"/>
      <c r="M146" s="268"/>
      <c r="N146" s="271"/>
      <c r="O146" s="271"/>
      <c r="P146" s="271"/>
      <c r="Q146" s="269"/>
      <c r="R146" s="269"/>
      <c r="S146" s="273"/>
    </row>
    <row r="147" spans="1:19" s="41" customFormat="1" ht="45" customHeight="1">
      <c r="A147" s="44">
        <f t="shared" si="2"/>
        <v>142</v>
      </c>
      <c r="B147" s="82" t="s">
        <v>626</v>
      </c>
      <c r="C147" s="31" t="s">
        <v>1</v>
      </c>
      <c r="D147" s="31" t="s">
        <v>621</v>
      </c>
      <c r="E147" s="31" t="s">
        <v>429</v>
      </c>
      <c r="F147" s="32" t="s">
        <v>30</v>
      </c>
      <c r="G147" s="32" t="s">
        <v>83</v>
      </c>
      <c r="H147" s="33" t="s">
        <v>1</v>
      </c>
      <c r="I147" s="33" t="s">
        <v>1</v>
      </c>
      <c r="J147" s="34" t="s">
        <v>93</v>
      </c>
      <c r="K147" s="34" t="s">
        <v>430</v>
      </c>
      <c r="L147" s="35">
        <v>1</v>
      </c>
      <c r="M147" s="34" t="s">
        <v>65</v>
      </c>
      <c r="N147" s="32" t="s">
        <v>905</v>
      </c>
      <c r="O147" s="32" t="s">
        <v>1</v>
      </c>
      <c r="P147" s="32" t="s">
        <v>1244</v>
      </c>
      <c r="Q147" s="269" t="s">
        <v>1</v>
      </c>
      <c r="R147" s="269"/>
      <c r="S147" s="45">
        <v>1</v>
      </c>
    </row>
    <row r="148" spans="1:19" s="41" customFormat="1" ht="45" customHeight="1">
      <c r="A148" s="44">
        <f t="shared" si="2"/>
        <v>143</v>
      </c>
      <c r="B148" s="82" t="s">
        <v>627</v>
      </c>
      <c r="C148" s="31" t="s">
        <v>186</v>
      </c>
      <c r="D148" s="31" t="s">
        <v>621</v>
      </c>
      <c r="E148" s="31" t="s">
        <v>293</v>
      </c>
      <c r="F148" s="32" t="s">
        <v>143</v>
      </c>
      <c r="G148" s="32" t="s">
        <v>48</v>
      </c>
      <c r="H148" s="33" t="s">
        <v>1</v>
      </c>
      <c r="I148" s="33" t="s">
        <v>1</v>
      </c>
      <c r="J148" s="34" t="s">
        <v>1081</v>
      </c>
      <c r="K148" s="34" t="s">
        <v>1082</v>
      </c>
      <c r="L148" s="35">
        <v>1</v>
      </c>
      <c r="M148" s="34" t="s">
        <v>52</v>
      </c>
      <c r="N148" s="32" t="s">
        <v>905</v>
      </c>
      <c r="O148" s="32" t="s">
        <v>1</v>
      </c>
      <c r="P148" s="32" t="s">
        <v>1</v>
      </c>
      <c r="Q148" s="269" t="s">
        <v>1</v>
      </c>
      <c r="R148" s="269"/>
      <c r="S148" s="45">
        <v>1</v>
      </c>
    </row>
    <row r="149" spans="1:19" s="41" customFormat="1" ht="45" customHeight="1">
      <c r="A149" s="44">
        <f t="shared" si="2"/>
        <v>144</v>
      </c>
      <c r="B149" s="82" t="s">
        <v>628</v>
      </c>
      <c r="C149" s="31" t="s">
        <v>187</v>
      </c>
      <c r="D149" s="31" t="s">
        <v>621</v>
      </c>
      <c r="E149" s="31" t="s">
        <v>98</v>
      </c>
      <c r="F149" s="32" t="s">
        <v>31</v>
      </c>
      <c r="G149" s="32" t="s">
        <v>83</v>
      </c>
      <c r="H149" s="33" t="s">
        <v>972</v>
      </c>
      <c r="I149" s="33" t="s">
        <v>974</v>
      </c>
      <c r="J149" s="34" t="s">
        <v>1083</v>
      </c>
      <c r="K149" s="34" t="s">
        <v>1086</v>
      </c>
      <c r="L149" s="35">
        <v>1</v>
      </c>
      <c r="M149" s="34" t="s">
        <v>52</v>
      </c>
      <c r="N149" s="32" t="s">
        <v>905</v>
      </c>
      <c r="O149" s="32" t="s">
        <v>1</v>
      </c>
      <c r="P149" s="32" t="s">
        <v>1</v>
      </c>
      <c r="Q149" s="269" t="s">
        <v>1</v>
      </c>
      <c r="R149" s="269"/>
      <c r="S149" s="45">
        <v>1</v>
      </c>
    </row>
    <row r="150" spans="1:19" s="41" customFormat="1" ht="45" customHeight="1">
      <c r="A150" s="44">
        <f t="shared" si="2"/>
        <v>145</v>
      </c>
      <c r="B150" s="82" t="s">
        <v>629</v>
      </c>
      <c r="C150" s="31" t="s">
        <v>1</v>
      </c>
      <c r="D150" s="31" t="s">
        <v>621</v>
      </c>
      <c r="E150" s="31" t="s">
        <v>98</v>
      </c>
      <c r="F150" s="32" t="s">
        <v>31</v>
      </c>
      <c r="G150" s="32" t="s">
        <v>83</v>
      </c>
      <c r="H150" s="33" t="s">
        <v>1</v>
      </c>
      <c r="I150" s="33" t="s">
        <v>1</v>
      </c>
      <c r="J150" s="34" t="s">
        <v>93</v>
      </c>
      <c r="K150" s="34" t="s">
        <v>432</v>
      </c>
      <c r="L150" s="35">
        <v>1</v>
      </c>
      <c r="M150" s="34" t="s">
        <v>65</v>
      </c>
      <c r="N150" s="32" t="s">
        <v>905</v>
      </c>
      <c r="O150" s="32" t="s">
        <v>1</v>
      </c>
      <c r="P150" s="32" t="s">
        <v>895</v>
      </c>
      <c r="Q150" s="269" t="s">
        <v>1</v>
      </c>
      <c r="R150" s="269"/>
      <c r="S150" s="45">
        <v>1</v>
      </c>
    </row>
    <row r="151" spans="1:19" s="41" customFormat="1" ht="45" customHeight="1">
      <c r="A151" s="44">
        <f t="shared" si="2"/>
        <v>146</v>
      </c>
      <c r="B151" s="82" t="s">
        <v>630</v>
      </c>
      <c r="C151" s="31" t="s">
        <v>188</v>
      </c>
      <c r="D151" s="31" t="s">
        <v>621</v>
      </c>
      <c r="E151" s="31" t="s">
        <v>99</v>
      </c>
      <c r="F151" s="32" t="s">
        <v>88</v>
      </c>
      <c r="G151" s="32" t="s">
        <v>89</v>
      </c>
      <c r="H151" s="64" t="s">
        <v>451</v>
      </c>
      <c r="I151" s="33" t="s">
        <v>250</v>
      </c>
      <c r="J151" s="34" t="s">
        <v>1083</v>
      </c>
      <c r="K151" s="34" t="s">
        <v>1085</v>
      </c>
      <c r="L151" s="35">
        <v>1</v>
      </c>
      <c r="M151" s="34" t="s">
        <v>52</v>
      </c>
      <c r="N151" s="32" t="s">
        <v>905</v>
      </c>
      <c r="O151" s="32" t="s">
        <v>1</v>
      </c>
      <c r="P151" s="32" t="s">
        <v>1</v>
      </c>
      <c r="Q151" s="269" t="s">
        <v>1</v>
      </c>
      <c r="R151" s="269"/>
      <c r="S151" s="45">
        <v>1</v>
      </c>
    </row>
    <row r="152" spans="1:19" s="41" customFormat="1" ht="45" customHeight="1">
      <c r="A152" s="44">
        <f t="shared" si="2"/>
        <v>147</v>
      </c>
      <c r="B152" s="82" t="s">
        <v>631</v>
      </c>
      <c r="C152" s="31" t="s">
        <v>189</v>
      </c>
      <c r="D152" s="31" t="s">
        <v>621</v>
      </c>
      <c r="E152" s="31" t="s">
        <v>100</v>
      </c>
      <c r="F152" s="32" t="s">
        <v>88</v>
      </c>
      <c r="G152" s="32" t="s">
        <v>89</v>
      </c>
      <c r="H152" s="64" t="s">
        <v>451</v>
      </c>
      <c r="I152" s="33" t="s">
        <v>250</v>
      </c>
      <c r="J152" s="34" t="s">
        <v>1083</v>
      </c>
      <c r="K152" s="34" t="s">
        <v>1085</v>
      </c>
      <c r="L152" s="35">
        <v>1</v>
      </c>
      <c r="M152" s="34" t="s">
        <v>52</v>
      </c>
      <c r="N152" s="32" t="s">
        <v>905</v>
      </c>
      <c r="O152" s="32" t="s">
        <v>1</v>
      </c>
      <c r="P152" s="32" t="s">
        <v>1</v>
      </c>
      <c r="Q152" s="269" t="s">
        <v>1</v>
      </c>
      <c r="R152" s="269"/>
      <c r="S152" s="45">
        <v>1</v>
      </c>
    </row>
    <row r="153" spans="1:19" s="41" customFormat="1" ht="45" customHeight="1">
      <c r="A153" s="44">
        <f t="shared" si="2"/>
        <v>148</v>
      </c>
      <c r="B153" s="82" t="s">
        <v>632</v>
      </c>
      <c r="C153" s="31" t="s">
        <v>1</v>
      </c>
      <c r="D153" s="31" t="s">
        <v>621</v>
      </c>
      <c r="E153" s="31" t="s">
        <v>438</v>
      </c>
      <c r="F153" s="32" t="s">
        <v>439</v>
      </c>
      <c r="G153" s="32" t="s">
        <v>83</v>
      </c>
      <c r="H153" s="33" t="s">
        <v>1</v>
      </c>
      <c r="I153" s="33" t="s">
        <v>1</v>
      </c>
      <c r="J153" s="34" t="s">
        <v>93</v>
      </c>
      <c r="K153" s="34" t="s">
        <v>445</v>
      </c>
      <c r="L153" s="35">
        <v>1</v>
      </c>
      <c r="M153" s="34" t="s">
        <v>65</v>
      </c>
      <c r="N153" s="32" t="s">
        <v>905</v>
      </c>
      <c r="O153" s="32" t="s">
        <v>1</v>
      </c>
      <c r="P153" s="32" t="s">
        <v>897</v>
      </c>
      <c r="Q153" s="269" t="s">
        <v>1</v>
      </c>
      <c r="R153" s="269"/>
      <c r="S153" s="45">
        <v>1</v>
      </c>
    </row>
    <row r="154" spans="1:19" s="41" customFormat="1" ht="45" customHeight="1">
      <c r="A154" s="44">
        <f t="shared" si="2"/>
        <v>149</v>
      </c>
      <c r="B154" s="82" t="s">
        <v>633</v>
      </c>
      <c r="C154" s="31" t="s">
        <v>1</v>
      </c>
      <c r="D154" s="31" t="s">
        <v>621</v>
      </c>
      <c r="E154" s="31" t="s">
        <v>100</v>
      </c>
      <c r="F154" s="32" t="s">
        <v>434</v>
      </c>
      <c r="G154" s="32" t="s">
        <v>83</v>
      </c>
      <c r="H154" s="33" t="s">
        <v>1</v>
      </c>
      <c r="I154" s="33" t="s">
        <v>1</v>
      </c>
      <c r="J154" s="34" t="s">
        <v>93</v>
      </c>
      <c r="K154" s="34" t="s">
        <v>435</v>
      </c>
      <c r="L154" s="35">
        <v>1</v>
      </c>
      <c r="M154" s="34" t="s">
        <v>65</v>
      </c>
      <c r="N154" s="32" t="s">
        <v>905</v>
      </c>
      <c r="O154" s="32" t="s">
        <v>1</v>
      </c>
      <c r="P154" s="32" t="s">
        <v>892</v>
      </c>
      <c r="Q154" s="269" t="s">
        <v>1</v>
      </c>
      <c r="R154" s="269"/>
      <c r="S154" s="45">
        <v>1</v>
      </c>
    </row>
    <row r="155" spans="1:19" s="41" customFormat="1" ht="45" customHeight="1">
      <c r="A155" s="44">
        <f t="shared" si="2"/>
        <v>150</v>
      </c>
      <c r="B155" s="82" t="s">
        <v>635</v>
      </c>
      <c r="C155" s="31" t="s">
        <v>1</v>
      </c>
      <c r="D155" s="31" t="s">
        <v>621</v>
      </c>
      <c r="E155" s="31" t="s">
        <v>302</v>
      </c>
      <c r="F155" s="32" t="s">
        <v>50</v>
      </c>
      <c r="G155" s="32" t="s">
        <v>48</v>
      </c>
      <c r="H155" s="33" t="s">
        <v>1</v>
      </c>
      <c r="I155" s="33" t="s">
        <v>1</v>
      </c>
      <c r="J155" s="34" t="s">
        <v>422</v>
      </c>
      <c r="K155" s="34" t="s">
        <v>423</v>
      </c>
      <c r="L155" s="35">
        <v>1</v>
      </c>
      <c r="M155" s="34" t="s">
        <v>65</v>
      </c>
      <c r="N155" s="32" t="s">
        <v>905</v>
      </c>
      <c r="O155" s="32" t="s">
        <v>1</v>
      </c>
      <c r="P155" s="32" t="s">
        <v>901</v>
      </c>
      <c r="Q155" s="269" t="s">
        <v>1</v>
      </c>
      <c r="R155" s="269"/>
      <c r="S155" s="45">
        <v>1</v>
      </c>
    </row>
    <row r="156" spans="1:19" s="41" customFormat="1" ht="45" customHeight="1">
      <c r="A156" s="44">
        <f t="shared" si="2"/>
        <v>151</v>
      </c>
      <c r="B156" s="82" t="s">
        <v>636</v>
      </c>
      <c r="C156" s="31" t="s">
        <v>190</v>
      </c>
      <c r="D156" s="31" t="s">
        <v>637</v>
      </c>
      <c r="E156" s="31" t="s">
        <v>308</v>
      </c>
      <c r="F156" s="32" t="s">
        <v>88</v>
      </c>
      <c r="G156" s="32" t="s">
        <v>89</v>
      </c>
      <c r="H156" s="33" t="s">
        <v>113</v>
      </c>
      <c r="I156" s="33" t="s">
        <v>312</v>
      </c>
      <c r="J156" s="34" t="s">
        <v>1089</v>
      </c>
      <c r="K156" s="34" t="s">
        <v>1090</v>
      </c>
      <c r="L156" s="35">
        <v>1</v>
      </c>
      <c r="M156" s="34" t="s">
        <v>52</v>
      </c>
      <c r="N156" s="32" t="s">
        <v>903</v>
      </c>
      <c r="O156" s="32" t="s">
        <v>1</v>
      </c>
      <c r="P156" s="32" t="s">
        <v>1</v>
      </c>
      <c r="Q156" s="269" t="s">
        <v>1</v>
      </c>
      <c r="R156" s="269"/>
      <c r="S156" s="45">
        <v>1</v>
      </c>
    </row>
    <row r="157" spans="1:19" s="41" customFormat="1" ht="45" customHeight="1">
      <c r="A157" s="44">
        <f t="shared" si="2"/>
        <v>152</v>
      </c>
      <c r="B157" s="82" t="s">
        <v>638</v>
      </c>
      <c r="C157" s="31" t="s">
        <v>191</v>
      </c>
      <c r="D157" s="31" t="s">
        <v>637</v>
      </c>
      <c r="E157" s="31" t="s">
        <v>309</v>
      </c>
      <c r="F157" s="32" t="s">
        <v>88</v>
      </c>
      <c r="G157" s="32" t="s">
        <v>89</v>
      </c>
      <c r="H157" s="33" t="s">
        <v>113</v>
      </c>
      <c r="I157" s="33" t="s">
        <v>312</v>
      </c>
      <c r="J157" s="34" t="s">
        <v>1089</v>
      </c>
      <c r="K157" s="34" t="s">
        <v>1091</v>
      </c>
      <c r="L157" s="35">
        <v>1</v>
      </c>
      <c r="M157" s="34" t="s">
        <v>52</v>
      </c>
      <c r="N157" s="32" t="s">
        <v>903</v>
      </c>
      <c r="O157" s="32" t="s">
        <v>1</v>
      </c>
      <c r="P157" s="32" t="s">
        <v>1</v>
      </c>
      <c r="Q157" s="269" t="s">
        <v>1</v>
      </c>
      <c r="R157" s="269"/>
      <c r="S157" s="45">
        <v>1</v>
      </c>
    </row>
    <row r="158" spans="1:19" s="41" customFormat="1" ht="45" customHeight="1">
      <c r="A158" s="44">
        <f t="shared" si="2"/>
        <v>153</v>
      </c>
      <c r="B158" s="82" t="s">
        <v>639</v>
      </c>
      <c r="C158" s="31" t="s">
        <v>192</v>
      </c>
      <c r="D158" s="31" t="s">
        <v>637</v>
      </c>
      <c r="E158" s="31" t="s">
        <v>310</v>
      </c>
      <c r="F158" s="32" t="s">
        <v>88</v>
      </c>
      <c r="G158" s="32" t="s">
        <v>89</v>
      </c>
      <c r="H158" s="33" t="s">
        <v>113</v>
      </c>
      <c r="I158" s="33" t="s">
        <v>312</v>
      </c>
      <c r="J158" s="34" t="s">
        <v>1089</v>
      </c>
      <c r="K158" s="34" t="s">
        <v>1091</v>
      </c>
      <c r="L158" s="35">
        <v>1</v>
      </c>
      <c r="M158" s="34" t="s">
        <v>52</v>
      </c>
      <c r="N158" s="32" t="s">
        <v>903</v>
      </c>
      <c r="O158" s="32" t="s">
        <v>1</v>
      </c>
      <c r="P158" s="32" t="s">
        <v>1</v>
      </c>
      <c r="Q158" s="269" t="s">
        <v>1</v>
      </c>
      <c r="R158" s="269"/>
      <c r="S158" s="45">
        <v>1</v>
      </c>
    </row>
    <row r="159" spans="1:19" s="41" customFormat="1" ht="45" customHeight="1">
      <c r="A159" s="44">
        <f t="shared" si="2"/>
        <v>154</v>
      </c>
      <c r="B159" s="82" t="s">
        <v>640</v>
      </c>
      <c r="C159" s="31" t="s">
        <v>193</v>
      </c>
      <c r="D159" s="31" t="s">
        <v>637</v>
      </c>
      <c r="E159" s="31" t="s">
        <v>311</v>
      </c>
      <c r="F159" s="32" t="s">
        <v>88</v>
      </c>
      <c r="G159" s="32" t="s">
        <v>89</v>
      </c>
      <c r="H159" s="33" t="s">
        <v>113</v>
      </c>
      <c r="I159" s="33" t="s">
        <v>312</v>
      </c>
      <c r="J159" s="34" t="s">
        <v>1089</v>
      </c>
      <c r="K159" s="34" t="s">
        <v>1091</v>
      </c>
      <c r="L159" s="35">
        <v>1</v>
      </c>
      <c r="M159" s="34" t="s">
        <v>52</v>
      </c>
      <c r="N159" s="32" t="s">
        <v>903</v>
      </c>
      <c r="O159" s="32" t="s">
        <v>1</v>
      </c>
      <c r="P159" s="32" t="s">
        <v>1</v>
      </c>
      <c r="Q159" s="269" t="s">
        <v>1</v>
      </c>
      <c r="R159" s="269"/>
      <c r="S159" s="45">
        <v>1</v>
      </c>
    </row>
    <row r="160" spans="1:19" s="41" customFormat="1" ht="45" customHeight="1">
      <c r="A160" s="44">
        <f t="shared" si="2"/>
        <v>155</v>
      </c>
      <c r="B160" s="82" t="s">
        <v>641</v>
      </c>
      <c r="C160" s="31" t="s">
        <v>1</v>
      </c>
      <c r="D160" s="31" t="s">
        <v>637</v>
      </c>
      <c r="E160" s="31" t="s">
        <v>364</v>
      </c>
      <c r="F160" s="32" t="s">
        <v>313</v>
      </c>
      <c r="G160" s="32" t="s">
        <v>83</v>
      </c>
      <c r="H160" s="62" t="s">
        <v>362</v>
      </c>
      <c r="I160" s="62" t="s">
        <v>352</v>
      </c>
      <c r="J160" s="34" t="s">
        <v>408</v>
      </c>
      <c r="K160" s="34" t="s">
        <v>409</v>
      </c>
      <c r="L160" s="35">
        <v>1</v>
      </c>
      <c r="M160" s="34" t="s">
        <v>65</v>
      </c>
      <c r="N160" s="32" t="s">
        <v>903</v>
      </c>
      <c r="O160" s="32" t="s">
        <v>1</v>
      </c>
      <c r="P160" s="32" t="s">
        <v>893</v>
      </c>
      <c r="Q160" s="269" t="s">
        <v>1</v>
      </c>
      <c r="R160" s="269"/>
      <c r="S160" s="45">
        <v>1</v>
      </c>
    </row>
    <row r="161" spans="1:19" s="41" customFormat="1" ht="45" customHeight="1">
      <c r="A161" s="44">
        <f t="shared" si="2"/>
        <v>156</v>
      </c>
      <c r="B161" s="82" t="s">
        <v>642</v>
      </c>
      <c r="C161" s="31" t="s">
        <v>1</v>
      </c>
      <c r="D161" s="31" t="s">
        <v>637</v>
      </c>
      <c r="E161" s="31" t="s">
        <v>365</v>
      </c>
      <c r="F161" s="32" t="s">
        <v>313</v>
      </c>
      <c r="G161" s="32" t="s">
        <v>83</v>
      </c>
      <c r="H161" s="62" t="s">
        <v>362</v>
      </c>
      <c r="I161" s="62" t="s">
        <v>352</v>
      </c>
      <c r="J161" s="34" t="s">
        <v>408</v>
      </c>
      <c r="K161" s="34" t="s">
        <v>409</v>
      </c>
      <c r="L161" s="35">
        <v>1</v>
      </c>
      <c r="M161" s="34" t="s">
        <v>65</v>
      </c>
      <c r="N161" s="32" t="s">
        <v>903</v>
      </c>
      <c r="O161" s="32" t="s">
        <v>1</v>
      </c>
      <c r="P161" s="32" t="s">
        <v>893</v>
      </c>
      <c r="Q161" s="269" t="s">
        <v>1</v>
      </c>
      <c r="R161" s="269"/>
      <c r="S161" s="45">
        <v>1</v>
      </c>
    </row>
    <row r="162" spans="1:19" s="41" customFormat="1" ht="45" customHeight="1">
      <c r="A162" s="44">
        <f t="shared" si="2"/>
        <v>157</v>
      </c>
      <c r="B162" s="82" t="s">
        <v>643</v>
      </c>
      <c r="C162" s="31" t="s">
        <v>1</v>
      </c>
      <c r="D162" s="31" t="s">
        <v>637</v>
      </c>
      <c r="E162" s="31" t="s">
        <v>366</v>
      </c>
      <c r="F162" s="32" t="s">
        <v>313</v>
      </c>
      <c r="G162" s="32" t="s">
        <v>83</v>
      </c>
      <c r="H162" s="62" t="s">
        <v>351</v>
      </c>
      <c r="I162" s="62" t="s">
        <v>363</v>
      </c>
      <c r="J162" s="34" t="s">
        <v>408</v>
      </c>
      <c r="K162" s="34" t="s">
        <v>409</v>
      </c>
      <c r="L162" s="35">
        <v>1</v>
      </c>
      <c r="M162" s="34" t="s">
        <v>65</v>
      </c>
      <c r="N162" s="32" t="s">
        <v>903</v>
      </c>
      <c r="O162" s="32" t="s">
        <v>1</v>
      </c>
      <c r="P162" s="32" t="s">
        <v>893</v>
      </c>
      <c r="Q162" s="269" t="s">
        <v>1</v>
      </c>
      <c r="R162" s="269"/>
      <c r="S162" s="45">
        <v>1</v>
      </c>
    </row>
    <row r="163" spans="1:19" s="41" customFormat="1" ht="45" customHeight="1">
      <c r="A163" s="44">
        <f t="shared" si="2"/>
        <v>158</v>
      </c>
      <c r="B163" s="82" t="s">
        <v>644</v>
      </c>
      <c r="C163" s="31" t="s">
        <v>194</v>
      </c>
      <c r="D163" s="31" t="s">
        <v>645</v>
      </c>
      <c r="E163" s="31" t="s">
        <v>314</v>
      </c>
      <c r="F163" s="32" t="s">
        <v>88</v>
      </c>
      <c r="G163" s="32" t="s">
        <v>89</v>
      </c>
      <c r="H163" s="33" t="s">
        <v>113</v>
      </c>
      <c r="I163" s="33" t="s">
        <v>318</v>
      </c>
      <c r="J163" s="34" t="s">
        <v>1089</v>
      </c>
      <c r="K163" s="34" t="s">
        <v>1091</v>
      </c>
      <c r="L163" s="35">
        <v>1</v>
      </c>
      <c r="M163" s="34" t="s">
        <v>52</v>
      </c>
      <c r="N163" s="32" t="s">
        <v>906</v>
      </c>
      <c r="O163" s="32" t="s">
        <v>1</v>
      </c>
      <c r="P163" s="32" t="s">
        <v>1</v>
      </c>
      <c r="Q163" s="269" t="s">
        <v>1</v>
      </c>
      <c r="R163" s="269"/>
      <c r="S163" s="45">
        <v>1</v>
      </c>
    </row>
    <row r="164" spans="1:19" s="41" customFormat="1" ht="45" customHeight="1">
      <c r="A164" s="44">
        <f t="shared" si="2"/>
        <v>159</v>
      </c>
      <c r="B164" s="82" t="s">
        <v>646</v>
      </c>
      <c r="C164" s="31" t="s">
        <v>195</v>
      </c>
      <c r="D164" s="31" t="s">
        <v>645</v>
      </c>
      <c r="E164" s="31" t="s">
        <v>315</v>
      </c>
      <c r="F164" s="32" t="s">
        <v>88</v>
      </c>
      <c r="G164" s="32" t="s">
        <v>89</v>
      </c>
      <c r="H164" s="33" t="s">
        <v>113</v>
      </c>
      <c r="I164" s="33" t="s">
        <v>318</v>
      </c>
      <c r="J164" s="34" t="s">
        <v>1089</v>
      </c>
      <c r="K164" s="34" t="s">
        <v>1091</v>
      </c>
      <c r="L164" s="35">
        <v>1</v>
      </c>
      <c r="M164" s="34" t="s">
        <v>52</v>
      </c>
      <c r="N164" s="32" t="s">
        <v>906</v>
      </c>
      <c r="O164" s="32" t="s">
        <v>1</v>
      </c>
      <c r="P164" s="32" t="s">
        <v>1</v>
      </c>
      <c r="Q164" s="269" t="s">
        <v>1</v>
      </c>
      <c r="R164" s="269"/>
      <c r="S164" s="45">
        <v>1</v>
      </c>
    </row>
    <row r="165" spans="1:19" s="41" customFormat="1" ht="45" customHeight="1">
      <c r="A165" s="44">
        <f t="shared" si="2"/>
        <v>160</v>
      </c>
      <c r="B165" s="82" t="s">
        <v>647</v>
      </c>
      <c r="C165" s="31" t="s">
        <v>196</v>
      </c>
      <c r="D165" s="31" t="s">
        <v>645</v>
      </c>
      <c r="E165" s="31" t="s">
        <v>316</v>
      </c>
      <c r="F165" s="32" t="s">
        <v>88</v>
      </c>
      <c r="G165" s="32" t="s">
        <v>89</v>
      </c>
      <c r="H165" s="33" t="s">
        <v>113</v>
      </c>
      <c r="I165" s="33" t="s">
        <v>318</v>
      </c>
      <c r="J165" s="34" t="s">
        <v>1089</v>
      </c>
      <c r="K165" s="34" t="s">
        <v>1091</v>
      </c>
      <c r="L165" s="35">
        <v>1</v>
      </c>
      <c r="M165" s="34" t="s">
        <v>52</v>
      </c>
      <c r="N165" s="32" t="s">
        <v>906</v>
      </c>
      <c r="O165" s="32" t="s">
        <v>1</v>
      </c>
      <c r="P165" s="32" t="s">
        <v>1</v>
      </c>
      <c r="Q165" s="269" t="s">
        <v>1</v>
      </c>
      <c r="R165" s="269"/>
      <c r="S165" s="45">
        <v>1</v>
      </c>
    </row>
    <row r="166" spans="1:19" s="41" customFormat="1" ht="45" customHeight="1">
      <c r="A166" s="44">
        <f t="shared" si="2"/>
        <v>161</v>
      </c>
      <c r="B166" s="82" t="s">
        <v>648</v>
      </c>
      <c r="C166" s="31" t="s">
        <v>197</v>
      </c>
      <c r="D166" s="31" t="s">
        <v>645</v>
      </c>
      <c r="E166" s="31" t="s">
        <v>317</v>
      </c>
      <c r="F166" s="32" t="s">
        <v>88</v>
      </c>
      <c r="G166" s="32" t="s">
        <v>89</v>
      </c>
      <c r="H166" s="33" t="s">
        <v>113</v>
      </c>
      <c r="I166" s="33" t="s">
        <v>318</v>
      </c>
      <c r="J166" s="34" t="s">
        <v>1089</v>
      </c>
      <c r="K166" s="34" t="s">
        <v>1091</v>
      </c>
      <c r="L166" s="35">
        <v>1</v>
      </c>
      <c r="M166" s="34" t="s">
        <v>52</v>
      </c>
      <c r="N166" s="32" t="s">
        <v>906</v>
      </c>
      <c r="O166" s="32" t="s">
        <v>1</v>
      </c>
      <c r="P166" s="32" t="s">
        <v>1</v>
      </c>
      <c r="Q166" s="269" t="s">
        <v>1</v>
      </c>
      <c r="R166" s="269"/>
      <c r="S166" s="45">
        <v>1</v>
      </c>
    </row>
    <row r="167" spans="1:19" s="41" customFormat="1" ht="45" customHeight="1">
      <c r="A167" s="44">
        <f t="shared" si="2"/>
        <v>162</v>
      </c>
      <c r="B167" s="82" t="s">
        <v>649</v>
      </c>
      <c r="C167" s="31" t="s">
        <v>1</v>
      </c>
      <c r="D167" s="31" t="s">
        <v>645</v>
      </c>
      <c r="E167" s="31" t="s">
        <v>364</v>
      </c>
      <c r="F167" s="32" t="s">
        <v>115</v>
      </c>
      <c r="G167" s="32" t="s">
        <v>83</v>
      </c>
      <c r="H167" s="62" t="s">
        <v>362</v>
      </c>
      <c r="I167" s="62" t="s">
        <v>352</v>
      </c>
      <c r="J167" s="34" t="s">
        <v>408</v>
      </c>
      <c r="K167" s="34" t="s">
        <v>409</v>
      </c>
      <c r="L167" s="35">
        <v>1</v>
      </c>
      <c r="M167" s="34" t="s">
        <v>65</v>
      </c>
      <c r="N167" s="32" t="s">
        <v>906</v>
      </c>
      <c r="O167" s="32" t="s">
        <v>1</v>
      </c>
      <c r="P167" s="32" t="s">
        <v>893</v>
      </c>
      <c r="Q167" s="269" t="s">
        <v>1</v>
      </c>
      <c r="R167" s="269"/>
      <c r="S167" s="45">
        <v>1</v>
      </c>
    </row>
    <row r="168" spans="1:19" s="41" customFormat="1" ht="45" customHeight="1">
      <c r="A168" s="44">
        <f t="shared" si="2"/>
        <v>163</v>
      </c>
      <c r="B168" s="82" t="s">
        <v>650</v>
      </c>
      <c r="C168" s="31" t="s">
        <v>1</v>
      </c>
      <c r="D168" s="31" t="s">
        <v>645</v>
      </c>
      <c r="E168" s="31" t="s">
        <v>365</v>
      </c>
      <c r="F168" s="32" t="s">
        <v>313</v>
      </c>
      <c r="G168" s="32" t="s">
        <v>83</v>
      </c>
      <c r="H168" s="62" t="s">
        <v>362</v>
      </c>
      <c r="I168" s="62" t="s">
        <v>352</v>
      </c>
      <c r="J168" s="34" t="s">
        <v>408</v>
      </c>
      <c r="K168" s="34" t="s">
        <v>409</v>
      </c>
      <c r="L168" s="35">
        <v>1</v>
      </c>
      <c r="M168" s="34" t="s">
        <v>65</v>
      </c>
      <c r="N168" s="32" t="s">
        <v>906</v>
      </c>
      <c r="O168" s="32" t="s">
        <v>1</v>
      </c>
      <c r="P168" s="32" t="s">
        <v>893</v>
      </c>
      <c r="Q168" s="269" t="s">
        <v>1</v>
      </c>
      <c r="R168" s="269"/>
      <c r="S168" s="45">
        <v>1</v>
      </c>
    </row>
    <row r="169" spans="1:19" s="41" customFormat="1" ht="45" customHeight="1">
      <c r="A169" s="44">
        <f t="shared" si="2"/>
        <v>164</v>
      </c>
      <c r="B169" s="82" t="s">
        <v>651</v>
      </c>
      <c r="C169" s="31" t="s">
        <v>1</v>
      </c>
      <c r="D169" s="31" t="s">
        <v>645</v>
      </c>
      <c r="E169" s="31" t="s">
        <v>366</v>
      </c>
      <c r="F169" s="32" t="s">
        <v>115</v>
      </c>
      <c r="G169" s="32" t="s">
        <v>83</v>
      </c>
      <c r="H169" s="62" t="s">
        <v>351</v>
      </c>
      <c r="I169" s="62" t="s">
        <v>363</v>
      </c>
      <c r="J169" s="34" t="s">
        <v>408</v>
      </c>
      <c r="K169" s="34" t="s">
        <v>409</v>
      </c>
      <c r="L169" s="35">
        <v>1</v>
      </c>
      <c r="M169" s="34" t="s">
        <v>65</v>
      </c>
      <c r="N169" s="32" t="s">
        <v>906</v>
      </c>
      <c r="O169" s="32" t="s">
        <v>1</v>
      </c>
      <c r="P169" s="32" t="s">
        <v>893</v>
      </c>
      <c r="Q169" s="269" t="s">
        <v>1</v>
      </c>
      <c r="R169" s="269"/>
      <c r="S169" s="45">
        <v>1</v>
      </c>
    </row>
    <row r="170" spans="1:19" s="41" customFormat="1" ht="45" customHeight="1">
      <c r="A170" s="44">
        <f t="shared" si="2"/>
        <v>165</v>
      </c>
      <c r="B170" s="82" t="s">
        <v>652</v>
      </c>
      <c r="C170" s="31" t="s">
        <v>198</v>
      </c>
      <c r="D170" s="31" t="s">
        <v>653</v>
      </c>
      <c r="E170" s="31" t="s">
        <v>66</v>
      </c>
      <c r="F170" s="31" t="s">
        <v>29</v>
      </c>
      <c r="G170" s="32" t="s">
        <v>48</v>
      </c>
      <c r="H170" s="33" t="s">
        <v>1</v>
      </c>
      <c r="I170" s="33" t="s">
        <v>1</v>
      </c>
      <c r="J170" s="34" t="s">
        <v>1092</v>
      </c>
      <c r="K170" s="34" t="s">
        <v>1093</v>
      </c>
      <c r="L170" s="33">
        <v>1</v>
      </c>
      <c r="M170" s="34" t="s">
        <v>52</v>
      </c>
      <c r="N170" s="32" t="s">
        <v>904</v>
      </c>
      <c r="O170" s="32" t="s">
        <v>1</v>
      </c>
      <c r="P170" s="32" t="s">
        <v>1</v>
      </c>
      <c r="Q170" s="269" t="s">
        <v>1</v>
      </c>
      <c r="R170" s="269"/>
      <c r="S170" s="45">
        <v>1</v>
      </c>
    </row>
    <row r="171" spans="1:19" s="41" customFormat="1" ht="45" customHeight="1">
      <c r="A171" s="44">
        <f t="shared" si="2"/>
        <v>166</v>
      </c>
      <c r="B171" s="82" t="s">
        <v>654</v>
      </c>
      <c r="C171" s="31" t="s">
        <v>198</v>
      </c>
      <c r="D171" s="31" t="s">
        <v>653</v>
      </c>
      <c r="E171" s="31" t="s">
        <v>66</v>
      </c>
      <c r="F171" s="31" t="s">
        <v>29</v>
      </c>
      <c r="G171" s="32" t="s">
        <v>48</v>
      </c>
      <c r="H171" s="33" t="s">
        <v>1</v>
      </c>
      <c r="I171" s="33" t="s">
        <v>1</v>
      </c>
      <c r="J171" s="34" t="s">
        <v>1092</v>
      </c>
      <c r="K171" s="34" t="s">
        <v>1093</v>
      </c>
      <c r="L171" s="33">
        <v>1</v>
      </c>
      <c r="M171" s="34" t="s">
        <v>52</v>
      </c>
      <c r="N171" s="32" t="s">
        <v>904</v>
      </c>
      <c r="O171" s="32" t="s">
        <v>1</v>
      </c>
      <c r="P171" s="32" t="s">
        <v>1</v>
      </c>
      <c r="Q171" s="269" t="s">
        <v>1</v>
      </c>
      <c r="R171" s="269"/>
      <c r="S171" s="45">
        <v>1</v>
      </c>
    </row>
    <row r="172" spans="1:19" s="41" customFormat="1" ht="45" customHeight="1">
      <c r="A172" s="44">
        <f t="shared" si="2"/>
        <v>167</v>
      </c>
      <c r="B172" s="82" t="s">
        <v>655</v>
      </c>
      <c r="C172" s="31" t="s">
        <v>199</v>
      </c>
      <c r="D172" s="31" t="s">
        <v>653</v>
      </c>
      <c r="E172" s="31" t="s">
        <v>288</v>
      </c>
      <c r="F172" s="32" t="s">
        <v>252</v>
      </c>
      <c r="G172" s="32" t="s">
        <v>83</v>
      </c>
      <c r="H172" s="42" t="s">
        <v>972</v>
      </c>
      <c r="I172" s="42" t="s">
        <v>975</v>
      </c>
      <c r="J172" s="34" t="s">
        <v>1059</v>
      </c>
      <c r="K172" s="34" t="s">
        <v>1094</v>
      </c>
      <c r="L172" s="34">
        <v>1</v>
      </c>
      <c r="M172" s="34" t="s">
        <v>52</v>
      </c>
      <c r="N172" s="32" t="s">
        <v>906</v>
      </c>
      <c r="O172" s="32" t="s">
        <v>1</v>
      </c>
      <c r="P172" s="32" t="s">
        <v>1</v>
      </c>
      <c r="Q172" s="269" t="s">
        <v>1</v>
      </c>
      <c r="R172" s="269"/>
      <c r="S172" s="45">
        <v>1</v>
      </c>
    </row>
    <row r="173" spans="1:19" s="41" customFormat="1" ht="45" customHeight="1">
      <c r="A173" s="44">
        <f t="shared" si="2"/>
        <v>168</v>
      </c>
      <c r="B173" s="82" t="s">
        <v>656</v>
      </c>
      <c r="C173" s="31" t="s">
        <v>201</v>
      </c>
      <c r="D173" s="31" t="s">
        <v>653</v>
      </c>
      <c r="E173" s="31" t="s">
        <v>101</v>
      </c>
      <c r="F173" s="32" t="s">
        <v>31</v>
      </c>
      <c r="G173" s="32" t="s">
        <v>83</v>
      </c>
      <c r="H173" s="64" t="s">
        <v>976</v>
      </c>
      <c r="I173" s="64" t="s">
        <v>972</v>
      </c>
      <c r="J173" s="34" t="s">
        <v>1059</v>
      </c>
      <c r="K173" s="34" t="s">
        <v>1068</v>
      </c>
      <c r="L173" s="35">
        <v>1</v>
      </c>
      <c r="M173" s="34" t="s">
        <v>52</v>
      </c>
      <c r="N173" s="32" t="s">
        <v>906</v>
      </c>
      <c r="O173" s="32" t="s">
        <v>1</v>
      </c>
      <c r="P173" s="32" t="s">
        <v>1</v>
      </c>
      <c r="Q173" s="269" t="s">
        <v>1</v>
      </c>
      <c r="R173" s="269"/>
      <c r="S173" s="45">
        <v>1</v>
      </c>
    </row>
    <row r="174" spans="1:19" s="41" customFormat="1" ht="45" customHeight="1">
      <c r="A174" s="44">
        <f t="shared" si="2"/>
        <v>169</v>
      </c>
      <c r="B174" s="82" t="s">
        <v>657</v>
      </c>
      <c r="C174" s="31" t="s">
        <v>200</v>
      </c>
      <c r="D174" s="31" t="s">
        <v>653</v>
      </c>
      <c r="E174" s="31" t="s">
        <v>102</v>
      </c>
      <c r="F174" s="32" t="s">
        <v>31</v>
      </c>
      <c r="G174" s="32" t="s">
        <v>83</v>
      </c>
      <c r="H174" s="66" t="s">
        <v>971</v>
      </c>
      <c r="I174" s="64" t="s">
        <v>972</v>
      </c>
      <c r="J174" s="34" t="s">
        <v>1059</v>
      </c>
      <c r="K174" s="34" t="s">
        <v>1068</v>
      </c>
      <c r="L174" s="43">
        <v>1</v>
      </c>
      <c r="M174" s="34" t="s">
        <v>52</v>
      </c>
      <c r="N174" s="32" t="s">
        <v>906</v>
      </c>
      <c r="O174" s="32" t="s">
        <v>1</v>
      </c>
      <c r="P174" s="32" t="s">
        <v>1</v>
      </c>
      <c r="Q174" s="269" t="s">
        <v>1</v>
      </c>
      <c r="R174" s="269"/>
      <c r="S174" s="45">
        <v>1</v>
      </c>
    </row>
    <row r="175" spans="1:19" s="65" customFormat="1" ht="45" customHeight="1">
      <c r="A175" s="44">
        <f t="shared" si="2"/>
        <v>170</v>
      </c>
      <c r="B175" s="82" t="s">
        <v>658</v>
      </c>
      <c r="C175" s="31" t="s">
        <v>202</v>
      </c>
      <c r="D175" s="31" t="s">
        <v>653</v>
      </c>
      <c r="E175" s="32" t="s">
        <v>103</v>
      </c>
      <c r="F175" s="32" t="s">
        <v>31</v>
      </c>
      <c r="G175" s="32" t="s">
        <v>83</v>
      </c>
      <c r="H175" s="42" t="s">
        <v>972</v>
      </c>
      <c r="I175" s="60" t="s">
        <v>974</v>
      </c>
      <c r="J175" s="34" t="s">
        <v>1092</v>
      </c>
      <c r="K175" s="34" t="s">
        <v>1095</v>
      </c>
      <c r="L175" s="43">
        <v>1</v>
      </c>
      <c r="M175" s="34" t="s">
        <v>52</v>
      </c>
      <c r="N175" s="32" t="s">
        <v>906</v>
      </c>
      <c r="O175" s="32" t="s">
        <v>1</v>
      </c>
      <c r="P175" s="32" t="s">
        <v>1</v>
      </c>
      <c r="Q175" s="269" t="s">
        <v>1</v>
      </c>
      <c r="R175" s="269"/>
      <c r="S175" s="45">
        <v>1</v>
      </c>
    </row>
    <row r="176" spans="1:19" s="65" customFormat="1" ht="45" customHeight="1">
      <c r="A176" s="44">
        <f t="shared" si="2"/>
        <v>171</v>
      </c>
      <c r="B176" s="82" t="s">
        <v>659</v>
      </c>
      <c r="C176" s="31" t="s">
        <v>203</v>
      </c>
      <c r="D176" s="31" t="s">
        <v>653</v>
      </c>
      <c r="E176" s="32" t="s">
        <v>67</v>
      </c>
      <c r="F176" s="32" t="s">
        <v>68</v>
      </c>
      <c r="G176" s="32" t="s">
        <v>48</v>
      </c>
      <c r="H176" s="42" t="s">
        <v>1</v>
      </c>
      <c r="I176" s="60" t="s">
        <v>1</v>
      </c>
      <c r="J176" s="34" t="s">
        <v>1096</v>
      </c>
      <c r="K176" s="34" t="s">
        <v>1097</v>
      </c>
      <c r="L176" s="43">
        <v>1</v>
      </c>
      <c r="M176" s="34" t="s">
        <v>52</v>
      </c>
      <c r="N176" s="32" t="s">
        <v>906</v>
      </c>
      <c r="O176" s="32" t="s">
        <v>1</v>
      </c>
      <c r="P176" s="32" t="s">
        <v>1</v>
      </c>
      <c r="Q176" s="269" t="s">
        <v>1248</v>
      </c>
      <c r="R176" s="269"/>
      <c r="S176" s="45">
        <v>1</v>
      </c>
    </row>
    <row r="177" spans="1:19" s="65" customFormat="1" ht="45" customHeight="1">
      <c r="A177" s="44">
        <f t="shared" si="2"/>
        <v>172</v>
      </c>
      <c r="B177" s="82" t="s">
        <v>660</v>
      </c>
      <c r="C177" s="31" t="s">
        <v>204</v>
      </c>
      <c r="D177" s="31" t="s">
        <v>653</v>
      </c>
      <c r="E177" s="32" t="s">
        <v>104</v>
      </c>
      <c r="F177" s="32" t="s">
        <v>88</v>
      </c>
      <c r="G177" s="32" t="s">
        <v>89</v>
      </c>
      <c r="H177" s="33" t="s">
        <v>113</v>
      </c>
      <c r="I177" s="33" t="s">
        <v>448</v>
      </c>
      <c r="J177" s="34" t="s">
        <v>1059</v>
      </c>
      <c r="K177" s="34" t="s">
        <v>1098</v>
      </c>
      <c r="L177" s="43">
        <v>1</v>
      </c>
      <c r="M177" s="34" t="s">
        <v>52</v>
      </c>
      <c r="N177" s="32" t="s">
        <v>906</v>
      </c>
      <c r="O177" s="32" t="s">
        <v>1</v>
      </c>
      <c r="P177" s="32" t="s">
        <v>1</v>
      </c>
      <c r="Q177" s="269" t="s">
        <v>1</v>
      </c>
      <c r="R177" s="269"/>
      <c r="S177" s="45">
        <v>1</v>
      </c>
    </row>
    <row r="178" spans="1:19" s="41" customFormat="1" ht="45" customHeight="1">
      <c r="A178" s="44">
        <f t="shared" si="2"/>
        <v>173</v>
      </c>
      <c r="B178" s="82" t="s">
        <v>661</v>
      </c>
      <c r="C178" s="31" t="s">
        <v>1</v>
      </c>
      <c r="D178" s="31" t="s">
        <v>653</v>
      </c>
      <c r="E178" s="31" t="s">
        <v>105</v>
      </c>
      <c r="F178" s="32" t="s">
        <v>88</v>
      </c>
      <c r="G178" s="32" t="s">
        <v>89</v>
      </c>
      <c r="H178" s="33" t="s">
        <v>113</v>
      </c>
      <c r="I178" s="33" t="s">
        <v>329</v>
      </c>
      <c r="J178" s="34" t="s">
        <v>425</v>
      </c>
      <c r="K178" s="34" t="s">
        <v>427</v>
      </c>
      <c r="L178" s="43">
        <v>1</v>
      </c>
      <c r="M178" s="34" t="s">
        <v>65</v>
      </c>
      <c r="N178" s="32" t="s">
        <v>906</v>
      </c>
      <c r="O178" s="32" t="s">
        <v>1</v>
      </c>
      <c r="P178" s="32" t="s">
        <v>892</v>
      </c>
      <c r="Q178" s="269" t="s">
        <v>1</v>
      </c>
      <c r="R178" s="269"/>
      <c r="S178" s="45">
        <v>1</v>
      </c>
    </row>
    <row r="179" spans="1:19" s="41" customFormat="1" ht="45" customHeight="1">
      <c r="A179" s="44">
        <f t="shared" si="2"/>
        <v>174</v>
      </c>
      <c r="B179" s="82" t="s">
        <v>662</v>
      </c>
      <c r="C179" s="31" t="s">
        <v>205</v>
      </c>
      <c r="D179" s="31" t="s">
        <v>663</v>
      </c>
      <c r="E179" s="31" t="s">
        <v>127</v>
      </c>
      <c r="F179" s="32" t="s">
        <v>88</v>
      </c>
      <c r="G179" s="32" t="s">
        <v>89</v>
      </c>
      <c r="H179" s="33" t="s">
        <v>113</v>
      </c>
      <c r="I179" s="33" t="s">
        <v>330</v>
      </c>
      <c r="J179" s="34" t="s">
        <v>1099</v>
      </c>
      <c r="K179" s="34" t="s">
        <v>1100</v>
      </c>
      <c r="L179" s="35">
        <v>2</v>
      </c>
      <c r="M179" s="34" t="s">
        <v>52</v>
      </c>
      <c r="N179" s="32" t="s">
        <v>904</v>
      </c>
      <c r="O179" s="32" t="s">
        <v>1</v>
      </c>
      <c r="P179" s="32" t="s">
        <v>1</v>
      </c>
      <c r="Q179" s="269" t="s">
        <v>1</v>
      </c>
      <c r="R179" s="269"/>
      <c r="S179" s="45">
        <v>1</v>
      </c>
    </row>
    <row r="180" spans="1:19" s="41" customFormat="1" ht="45" customHeight="1">
      <c r="A180" s="44">
        <f t="shared" si="2"/>
        <v>175</v>
      </c>
      <c r="B180" s="82" t="s">
        <v>664</v>
      </c>
      <c r="C180" s="31" t="s">
        <v>206</v>
      </c>
      <c r="D180" s="31" t="s">
        <v>663</v>
      </c>
      <c r="E180" s="31" t="s">
        <v>128</v>
      </c>
      <c r="F180" s="32" t="s">
        <v>88</v>
      </c>
      <c r="G180" s="32" t="s">
        <v>89</v>
      </c>
      <c r="H180" s="33" t="s">
        <v>113</v>
      </c>
      <c r="I180" s="33" t="s">
        <v>330</v>
      </c>
      <c r="J180" s="34" t="s">
        <v>1099</v>
      </c>
      <c r="K180" s="34" t="s">
        <v>1101</v>
      </c>
      <c r="L180" s="35">
        <v>2</v>
      </c>
      <c r="M180" s="34" t="s">
        <v>52</v>
      </c>
      <c r="N180" s="32" t="s">
        <v>904</v>
      </c>
      <c r="O180" s="32" t="s">
        <v>1</v>
      </c>
      <c r="P180" s="32" t="s">
        <v>1</v>
      </c>
      <c r="Q180" s="269" t="s">
        <v>1</v>
      </c>
      <c r="R180" s="269"/>
      <c r="S180" s="45">
        <v>1</v>
      </c>
    </row>
    <row r="181" spans="1:19" s="41" customFormat="1" ht="45" customHeight="1">
      <c r="A181" s="44">
        <f t="shared" si="2"/>
        <v>176</v>
      </c>
      <c r="B181" s="82" t="s">
        <v>665</v>
      </c>
      <c r="C181" s="31" t="s">
        <v>207</v>
      </c>
      <c r="D181" s="31" t="s">
        <v>663</v>
      </c>
      <c r="E181" s="31" t="s">
        <v>129</v>
      </c>
      <c r="F181" s="32" t="s">
        <v>88</v>
      </c>
      <c r="G181" s="32" t="s">
        <v>89</v>
      </c>
      <c r="H181" s="33" t="s">
        <v>113</v>
      </c>
      <c r="I181" s="33" t="s">
        <v>330</v>
      </c>
      <c r="J181" s="34" t="s">
        <v>1099</v>
      </c>
      <c r="K181" s="34" t="s">
        <v>1101</v>
      </c>
      <c r="L181" s="35">
        <v>2</v>
      </c>
      <c r="M181" s="34" t="s">
        <v>52</v>
      </c>
      <c r="N181" s="32" t="s">
        <v>904</v>
      </c>
      <c r="O181" s="32" t="s">
        <v>1</v>
      </c>
      <c r="P181" s="32" t="s">
        <v>1</v>
      </c>
      <c r="Q181" s="269" t="s">
        <v>1</v>
      </c>
      <c r="R181" s="269"/>
      <c r="S181" s="45">
        <v>1</v>
      </c>
    </row>
    <row r="182" spans="1:19" s="41" customFormat="1" ht="45" customHeight="1">
      <c r="A182" s="44">
        <f t="shared" si="2"/>
        <v>177</v>
      </c>
      <c r="B182" s="82" t="s">
        <v>666</v>
      </c>
      <c r="C182" s="31" t="s">
        <v>208</v>
      </c>
      <c r="D182" s="31" t="s">
        <v>663</v>
      </c>
      <c r="E182" s="31" t="s">
        <v>144</v>
      </c>
      <c r="F182" s="32" t="s">
        <v>88</v>
      </c>
      <c r="G182" s="32" t="s">
        <v>89</v>
      </c>
      <c r="H182" s="33" t="s">
        <v>113</v>
      </c>
      <c r="I182" s="33" t="s">
        <v>318</v>
      </c>
      <c r="J182" s="34" t="s">
        <v>1099</v>
      </c>
      <c r="K182" s="34" t="s">
        <v>1101</v>
      </c>
      <c r="L182" s="35">
        <v>1</v>
      </c>
      <c r="M182" s="34" t="s">
        <v>52</v>
      </c>
      <c r="N182" s="32" t="s">
        <v>904</v>
      </c>
      <c r="O182" s="32" t="s">
        <v>1</v>
      </c>
      <c r="P182" s="32" t="s">
        <v>1</v>
      </c>
      <c r="Q182" s="269" t="s">
        <v>1</v>
      </c>
      <c r="R182" s="269"/>
      <c r="S182" s="45">
        <v>1</v>
      </c>
    </row>
    <row r="183" spans="1:19" s="41" customFormat="1" ht="45" customHeight="1">
      <c r="A183" s="44">
        <f t="shared" si="2"/>
        <v>178</v>
      </c>
      <c r="B183" s="82" t="s">
        <v>667</v>
      </c>
      <c r="C183" s="31" t="s">
        <v>209</v>
      </c>
      <c r="D183" s="31" t="s">
        <v>663</v>
      </c>
      <c r="E183" s="31" t="s">
        <v>145</v>
      </c>
      <c r="F183" s="32" t="s">
        <v>88</v>
      </c>
      <c r="G183" s="32" t="s">
        <v>89</v>
      </c>
      <c r="H183" s="33" t="s">
        <v>113</v>
      </c>
      <c r="I183" s="33" t="s">
        <v>318</v>
      </c>
      <c r="J183" s="34" t="s">
        <v>1099</v>
      </c>
      <c r="K183" s="34" t="s">
        <v>1101</v>
      </c>
      <c r="L183" s="35">
        <v>1</v>
      </c>
      <c r="M183" s="34" t="s">
        <v>52</v>
      </c>
      <c r="N183" s="32" t="s">
        <v>904</v>
      </c>
      <c r="O183" s="32" t="s">
        <v>1</v>
      </c>
      <c r="P183" s="32" t="s">
        <v>1</v>
      </c>
      <c r="Q183" s="269" t="s">
        <v>1</v>
      </c>
      <c r="R183" s="269"/>
      <c r="S183" s="45">
        <v>1</v>
      </c>
    </row>
    <row r="184" spans="1:19" s="41" customFormat="1" ht="45" customHeight="1">
      <c r="A184" s="44">
        <f t="shared" si="2"/>
        <v>179</v>
      </c>
      <c r="B184" s="82" t="s">
        <v>668</v>
      </c>
      <c r="C184" s="31" t="s">
        <v>1</v>
      </c>
      <c r="D184" s="31" t="s">
        <v>663</v>
      </c>
      <c r="E184" s="31" t="s">
        <v>109</v>
      </c>
      <c r="F184" s="32" t="s">
        <v>91</v>
      </c>
      <c r="G184" s="32" t="s">
        <v>83</v>
      </c>
      <c r="H184" s="33" t="s">
        <v>333</v>
      </c>
      <c r="I184" s="33" t="s">
        <v>92</v>
      </c>
      <c r="J184" s="34" t="s">
        <v>93</v>
      </c>
      <c r="K184" s="34" t="s">
        <v>94</v>
      </c>
      <c r="L184" s="35">
        <v>1</v>
      </c>
      <c r="M184" s="34" t="s">
        <v>65</v>
      </c>
      <c r="N184" s="32" t="s">
        <v>904</v>
      </c>
      <c r="O184" s="32" t="s">
        <v>1</v>
      </c>
      <c r="P184" s="32" t="s">
        <v>898</v>
      </c>
      <c r="Q184" s="269" t="s">
        <v>1</v>
      </c>
      <c r="R184" s="269"/>
      <c r="S184" s="45">
        <v>1</v>
      </c>
    </row>
    <row r="185" spans="1:19" s="41" customFormat="1" ht="45" customHeight="1">
      <c r="A185" s="44">
        <f t="shared" si="2"/>
        <v>180</v>
      </c>
      <c r="B185" s="82" t="s">
        <v>669</v>
      </c>
      <c r="C185" s="31" t="s">
        <v>450</v>
      </c>
      <c r="D185" s="31" t="s">
        <v>663</v>
      </c>
      <c r="E185" s="31" t="s">
        <v>120</v>
      </c>
      <c r="F185" s="32" t="s">
        <v>91</v>
      </c>
      <c r="G185" s="32" t="s">
        <v>83</v>
      </c>
      <c r="H185" s="33" t="s">
        <v>333</v>
      </c>
      <c r="I185" s="33" t="s">
        <v>335</v>
      </c>
      <c r="J185" s="34" t="s">
        <v>93</v>
      </c>
      <c r="K185" s="34" t="s">
        <v>94</v>
      </c>
      <c r="L185" s="35">
        <v>1</v>
      </c>
      <c r="M185" s="34" t="s">
        <v>52</v>
      </c>
      <c r="N185" s="32" t="s">
        <v>904</v>
      </c>
      <c r="O185" s="32" t="s">
        <v>1</v>
      </c>
      <c r="P185" s="32" t="s">
        <v>1</v>
      </c>
      <c r="Q185" s="269" t="s">
        <v>1</v>
      </c>
      <c r="R185" s="269"/>
      <c r="S185" s="45">
        <v>1</v>
      </c>
    </row>
    <row r="186" spans="1:19" s="41" customFormat="1" ht="45" customHeight="1">
      <c r="A186" s="44">
        <f t="shared" si="2"/>
        <v>181</v>
      </c>
      <c r="B186" s="82" t="s">
        <v>670</v>
      </c>
      <c r="C186" s="31" t="s">
        <v>392</v>
      </c>
      <c r="D186" s="31" t="s">
        <v>663</v>
      </c>
      <c r="E186" s="31" t="s">
        <v>110</v>
      </c>
      <c r="F186" s="32" t="s">
        <v>91</v>
      </c>
      <c r="G186" s="32" t="s">
        <v>83</v>
      </c>
      <c r="H186" s="33" t="s">
        <v>333</v>
      </c>
      <c r="I186" s="33" t="s">
        <v>335</v>
      </c>
      <c r="J186" s="34" t="s">
        <v>93</v>
      </c>
      <c r="K186" s="34" t="s">
        <v>94</v>
      </c>
      <c r="L186" s="43">
        <v>1</v>
      </c>
      <c r="M186" s="34" t="s">
        <v>52</v>
      </c>
      <c r="N186" s="32" t="s">
        <v>904</v>
      </c>
      <c r="O186" s="32" t="s">
        <v>1</v>
      </c>
      <c r="P186" s="32" t="s">
        <v>1</v>
      </c>
      <c r="Q186" s="269" t="s">
        <v>1</v>
      </c>
      <c r="R186" s="269"/>
      <c r="S186" s="45">
        <v>1</v>
      </c>
    </row>
    <row r="187" spans="1:19" s="41" customFormat="1" ht="45" customHeight="1">
      <c r="A187" s="44">
        <f t="shared" si="2"/>
        <v>182</v>
      </c>
      <c r="B187" s="82" t="s">
        <v>671</v>
      </c>
      <c r="C187" s="31" t="s">
        <v>210</v>
      </c>
      <c r="D187" s="31" t="s">
        <v>672</v>
      </c>
      <c r="E187" s="31" t="s">
        <v>118</v>
      </c>
      <c r="F187" s="31" t="s">
        <v>88</v>
      </c>
      <c r="G187" s="32" t="s">
        <v>89</v>
      </c>
      <c r="H187" s="33" t="s">
        <v>113</v>
      </c>
      <c r="I187" s="33" t="s">
        <v>318</v>
      </c>
      <c r="J187" s="34" t="s">
        <v>1083</v>
      </c>
      <c r="K187" s="34" t="s">
        <v>1141</v>
      </c>
      <c r="L187" s="34">
        <v>1</v>
      </c>
      <c r="M187" s="34" t="s">
        <v>52</v>
      </c>
      <c r="N187" s="32" t="s">
        <v>904</v>
      </c>
      <c r="O187" s="32" t="s">
        <v>1</v>
      </c>
      <c r="P187" s="32" t="s">
        <v>1</v>
      </c>
      <c r="Q187" s="269" t="s">
        <v>1</v>
      </c>
      <c r="R187" s="269"/>
      <c r="S187" s="45">
        <v>1</v>
      </c>
    </row>
    <row r="188" spans="1:19" s="41" customFormat="1" ht="45" customHeight="1">
      <c r="A188" s="44">
        <f t="shared" si="2"/>
        <v>183</v>
      </c>
      <c r="B188" s="82" t="s">
        <v>673</v>
      </c>
      <c r="C188" s="31" t="s">
        <v>211</v>
      </c>
      <c r="D188" s="31" t="s">
        <v>672</v>
      </c>
      <c r="E188" s="31" t="s">
        <v>119</v>
      </c>
      <c r="F188" s="31" t="s">
        <v>88</v>
      </c>
      <c r="G188" s="32" t="s">
        <v>89</v>
      </c>
      <c r="H188" s="33" t="s">
        <v>113</v>
      </c>
      <c r="I188" s="33" t="s">
        <v>318</v>
      </c>
      <c r="J188" s="34" t="s">
        <v>1083</v>
      </c>
      <c r="K188" s="34" t="s">
        <v>1141</v>
      </c>
      <c r="L188" s="34">
        <v>1</v>
      </c>
      <c r="M188" s="34" t="s">
        <v>52</v>
      </c>
      <c r="N188" s="32" t="s">
        <v>904</v>
      </c>
      <c r="O188" s="32" t="s">
        <v>1</v>
      </c>
      <c r="P188" s="32" t="s">
        <v>1</v>
      </c>
      <c r="Q188" s="269" t="s">
        <v>1</v>
      </c>
      <c r="R188" s="269"/>
      <c r="S188" s="45">
        <v>1</v>
      </c>
    </row>
    <row r="189" spans="1:19" s="41" customFormat="1" ht="45" customHeight="1">
      <c r="A189" s="44">
        <f t="shared" si="2"/>
        <v>184</v>
      </c>
      <c r="B189" s="82" t="s">
        <v>674</v>
      </c>
      <c r="C189" s="31" t="s">
        <v>393</v>
      </c>
      <c r="D189" s="31" t="s">
        <v>672</v>
      </c>
      <c r="E189" s="31" t="s">
        <v>353</v>
      </c>
      <c r="F189" s="32" t="s">
        <v>91</v>
      </c>
      <c r="G189" s="32" t="s">
        <v>83</v>
      </c>
      <c r="H189" s="33" t="s">
        <v>333</v>
      </c>
      <c r="I189" s="33" t="s">
        <v>92</v>
      </c>
      <c r="J189" s="34" t="s">
        <v>93</v>
      </c>
      <c r="K189" s="34" t="s">
        <v>94</v>
      </c>
      <c r="L189" s="42">
        <v>1</v>
      </c>
      <c r="M189" s="34" t="s">
        <v>52</v>
      </c>
      <c r="N189" s="32" t="s">
        <v>904</v>
      </c>
      <c r="O189" s="32" t="s">
        <v>1</v>
      </c>
      <c r="P189" s="32" t="s">
        <v>1</v>
      </c>
      <c r="Q189" s="269" t="s">
        <v>1</v>
      </c>
      <c r="R189" s="269"/>
      <c r="S189" s="45">
        <v>1</v>
      </c>
    </row>
    <row r="190" spans="1:19" s="41" customFormat="1" ht="45" customHeight="1">
      <c r="A190" s="44">
        <f t="shared" si="2"/>
        <v>185</v>
      </c>
      <c r="B190" s="82" t="s">
        <v>675</v>
      </c>
      <c r="C190" s="31" t="s">
        <v>1</v>
      </c>
      <c r="D190" s="31" t="s">
        <v>672</v>
      </c>
      <c r="E190" s="31" t="s">
        <v>353</v>
      </c>
      <c r="F190" s="32" t="s">
        <v>91</v>
      </c>
      <c r="G190" s="32" t="s">
        <v>83</v>
      </c>
      <c r="H190" s="33" t="s">
        <v>333</v>
      </c>
      <c r="I190" s="33" t="s">
        <v>92</v>
      </c>
      <c r="J190" s="34" t="s">
        <v>93</v>
      </c>
      <c r="K190" s="34" t="s">
        <v>94</v>
      </c>
      <c r="L190" s="35">
        <v>1</v>
      </c>
      <c r="M190" s="34" t="s">
        <v>65</v>
      </c>
      <c r="N190" s="32" t="s">
        <v>904</v>
      </c>
      <c r="O190" s="32" t="s">
        <v>1</v>
      </c>
      <c r="P190" s="32" t="s">
        <v>898</v>
      </c>
      <c r="Q190" s="269" t="s">
        <v>1</v>
      </c>
      <c r="R190" s="269"/>
      <c r="S190" s="45">
        <v>1</v>
      </c>
    </row>
    <row r="191" spans="1:19" s="41" customFormat="1" ht="45" customHeight="1">
      <c r="A191" s="44">
        <f t="shared" si="2"/>
        <v>186</v>
      </c>
      <c r="B191" s="82" t="s">
        <v>676</v>
      </c>
      <c r="C191" s="31" t="s">
        <v>394</v>
      </c>
      <c r="D191" s="31" t="s">
        <v>672</v>
      </c>
      <c r="E191" s="31" t="s">
        <v>354</v>
      </c>
      <c r="F191" s="32" t="s">
        <v>91</v>
      </c>
      <c r="G191" s="32" t="s">
        <v>83</v>
      </c>
      <c r="H191" s="33" t="s">
        <v>333</v>
      </c>
      <c r="I191" s="33" t="s">
        <v>92</v>
      </c>
      <c r="J191" s="34" t="s">
        <v>93</v>
      </c>
      <c r="K191" s="34" t="s">
        <v>94</v>
      </c>
      <c r="L191" s="43">
        <v>1</v>
      </c>
      <c r="M191" s="34" t="s">
        <v>52</v>
      </c>
      <c r="N191" s="32" t="s">
        <v>904</v>
      </c>
      <c r="O191" s="32" t="s">
        <v>1</v>
      </c>
      <c r="P191" s="32" t="s">
        <v>1</v>
      </c>
      <c r="Q191" s="269" t="s">
        <v>1</v>
      </c>
      <c r="R191" s="269"/>
      <c r="S191" s="45">
        <v>1</v>
      </c>
    </row>
    <row r="192" spans="1:19" s="41" customFormat="1" ht="45" customHeight="1">
      <c r="A192" s="44">
        <f t="shared" si="2"/>
        <v>187</v>
      </c>
      <c r="B192" s="82" t="s">
        <v>677</v>
      </c>
      <c r="C192" s="31" t="s">
        <v>1</v>
      </c>
      <c r="D192" s="31" t="s">
        <v>672</v>
      </c>
      <c r="E192" s="31" t="s">
        <v>354</v>
      </c>
      <c r="F192" s="32" t="s">
        <v>91</v>
      </c>
      <c r="G192" s="32" t="s">
        <v>83</v>
      </c>
      <c r="H192" s="33" t="s">
        <v>333</v>
      </c>
      <c r="I192" s="33" t="s">
        <v>92</v>
      </c>
      <c r="J192" s="34" t="s">
        <v>93</v>
      </c>
      <c r="K192" s="34" t="s">
        <v>94</v>
      </c>
      <c r="L192" s="43">
        <v>1</v>
      </c>
      <c r="M192" s="34" t="s">
        <v>65</v>
      </c>
      <c r="N192" s="32" t="s">
        <v>904</v>
      </c>
      <c r="O192" s="32" t="s">
        <v>1</v>
      </c>
      <c r="P192" s="32" t="s">
        <v>898</v>
      </c>
      <c r="Q192" s="269" t="s">
        <v>1</v>
      </c>
      <c r="R192" s="269"/>
      <c r="S192" s="45">
        <v>1</v>
      </c>
    </row>
    <row r="193" spans="1:19" s="41" customFormat="1" ht="45" customHeight="1">
      <c r="A193" s="44">
        <f t="shared" si="2"/>
        <v>188</v>
      </c>
      <c r="B193" s="82" t="s">
        <v>678</v>
      </c>
      <c r="C193" s="31" t="s">
        <v>212</v>
      </c>
      <c r="D193" s="31" t="s">
        <v>679</v>
      </c>
      <c r="E193" s="31" t="s">
        <v>114</v>
      </c>
      <c r="F193" s="32" t="s">
        <v>76</v>
      </c>
      <c r="G193" s="32" t="s">
        <v>83</v>
      </c>
      <c r="H193" s="60">
        <v>0</v>
      </c>
      <c r="I193" s="60">
        <v>1</v>
      </c>
      <c r="J193" s="268" t="s">
        <v>1102</v>
      </c>
      <c r="K193" s="268" t="s">
        <v>1103</v>
      </c>
      <c r="L193" s="270">
        <v>1</v>
      </c>
      <c r="M193" s="268" t="s">
        <v>52</v>
      </c>
      <c r="N193" s="271" t="s">
        <v>904</v>
      </c>
      <c r="O193" s="271" t="s">
        <v>1</v>
      </c>
      <c r="P193" s="271" t="s">
        <v>1</v>
      </c>
      <c r="Q193" s="269" t="s">
        <v>1240</v>
      </c>
      <c r="R193" s="269"/>
      <c r="S193" s="273">
        <v>1</v>
      </c>
    </row>
    <row r="194" spans="1:19" s="41" customFormat="1" ht="45" customHeight="1">
      <c r="A194" s="44">
        <f t="shared" si="2"/>
        <v>189</v>
      </c>
      <c r="B194" s="82" t="s">
        <v>680</v>
      </c>
      <c r="C194" s="31" t="s">
        <v>1</v>
      </c>
      <c r="D194" s="31" t="s">
        <v>679</v>
      </c>
      <c r="E194" s="31" t="s">
        <v>111</v>
      </c>
      <c r="F194" s="32" t="s">
        <v>80</v>
      </c>
      <c r="G194" s="32" t="s">
        <v>48</v>
      </c>
      <c r="H194" s="33" t="s">
        <v>1</v>
      </c>
      <c r="I194" s="33" t="s">
        <v>1</v>
      </c>
      <c r="J194" s="268"/>
      <c r="K194" s="268"/>
      <c r="L194" s="270"/>
      <c r="M194" s="268"/>
      <c r="N194" s="271"/>
      <c r="O194" s="271"/>
      <c r="P194" s="271"/>
      <c r="Q194" s="269"/>
      <c r="R194" s="269"/>
      <c r="S194" s="273"/>
    </row>
    <row r="195" spans="1:19" s="41" customFormat="1" ht="45" customHeight="1">
      <c r="A195" s="44">
        <f t="shared" si="2"/>
        <v>190</v>
      </c>
      <c r="B195" s="82" t="s">
        <v>681</v>
      </c>
      <c r="C195" s="31" t="s">
        <v>787</v>
      </c>
      <c r="D195" s="31" t="s">
        <v>679</v>
      </c>
      <c r="E195" s="31" t="s">
        <v>74</v>
      </c>
      <c r="F195" s="32" t="s">
        <v>62</v>
      </c>
      <c r="G195" s="32" t="s">
        <v>48</v>
      </c>
      <c r="H195" s="33" t="s">
        <v>1</v>
      </c>
      <c r="I195" s="33" t="s">
        <v>1</v>
      </c>
      <c r="J195" s="268"/>
      <c r="K195" s="268"/>
      <c r="L195" s="270"/>
      <c r="M195" s="268"/>
      <c r="N195" s="271"/>
      <c r="O195" s="271"/>
      <c r="P195" s="271"/>
      <c r="Q195" s="269"/>
      <c r="R195" s="269"/>
      <c r="S195" s="273"/>
    </row>
    <row r="196" spans="1:19" s="41" customFormat="1" ht="45" customHeight="1">
      <c r="A196" s="44">
        <f t="shared" si="2"/>
        <v>191</v>
      </c>
      <c r="B196" s="82" t="s">
        <v>682</v>
      </c>
      <c r="C196" s="31" t="s">
        <v>1</v>
      </c>
      <c r="D196" s="31" t="s">
        <v>679</v>
      </c>
      <c r="E196" s="31" t="s">
        <v>74</v>
      </c>
      <c r="F196" s="32" t="s">
        <v>49</v>
      </c>
      <c r="G196" s="32" t="s">
        <v>48</v>
      </c>
      <c r="H196" s="33" t="s">
        <v>1</v>
      </c>
      <c r="I196" s="33" t="s">
        <v>1</v>
      </c>
      <c r="J196" s="34" t="s">
        <v>418</v>
      </c>
      <c r="K196" s="34" t="s">
        <v>419</v>
      </c>
      <c r="L196" s="43">
        <v>1</v>
      </c>
      <c r="M196" s="34" t="s">
        <v>65</v>
      </c>
      <c r="N196" s="32" t="s">
        <v>904</v>
      </c>
      <c r="O196" s="32" t="s">
        <v>1</v>
      </c>
      <c r="P196" s="32" t="s">
        <v>888</v>
      </c>
      <c r="Q196" s="269" t="s">
        <v>361</v>
      </c>
      <c r="R196" s="269"/>
      <c r="S196" s="45">
        <v>1</v>
      </c>
    </row>
    <row r="197" spans="1:19" s="41" customFormat="1" ht="45" customHeight="1">
      <c r="A197" s="44">
        <f t="shared" si="2"/>
        <v>192</v>
      </c>
      <c r="B197" s="82" t="s">
        <v>683</v>
      </c>
      <c r="C197" s="31" t="s">
        <v>788</v>
      </c>
      <c r="D197" s="31" t="s">
        <v>679</v>
      </c>
      <c r="E197" s="31" t="s">
        <v>75</v>
      </c>
      <c r="F197" s="32" t="s">
        <v>62</v>
      </c>
      <c r="G197" s="32" t="s">
        <v>48</v>
      </c>
      <c r="H197" s="33" t="s">
        <v>1</v>
      </c>
      <c r="I197" s="33" t="s">
        <v>1</v>
      </c>
      <c r="J197" s="34" t="s">
        <v>1102</v>
      </c>
      <c r="K197" s="34" t="s">
        <v>1103</v>
      </c>
      <c r="L197" s="35">
        <v>1</v>
      </c>
      <c r="M197" s="34" t="s">
        <v>52</v>
      </c>
      <c r="N197" s="32" t="s">
        <v>904</v>
      </c>
      <c r="O197" s="32" t="s">
        <v>1</v>
      </c>
      <c r="P197" s="32" t="s">
        <v>1</v>
      </c>
      <c r="Q197" s="271" t="s">
        <v>1240</v>
      </c>
      <c r="R197" s="271"/>
      <c r="S197" s="45">
        <v>1</v>
      </c>
    </row>
    <row r="198" spans="1:19" s="41" customFormat="1" ht="45" customHeight="1">
      <c r="A198" s="44">
        <f t="shared" si="2"/>
        <v>193</v>
      </c>
      <c r="B198" s="82" t="s">
        <v>684</v>
      </c>
      <c r="C198" s="31" t="s">
        <v>1</v>
      </c>
      <c r="D198" s="31" t="s">
        <v>679</v>
      </c>
      <c r="E198" s="31" t="s">
        <v>75</v>
      </c>
      <c r="F198" s="32" t="s">
        <v>49</v>
      </c>
      <c r="G198" s="32" t="s">
        <v>48</v>
      </c>
      <c r="H198" s="33" t="s">
        <v>1</v>
      </c>
      <c r="I198" s="33" t="s">
        <v>1</v>
      </c>
      <c r="J198" s="34" t="s">
        <v>418</v>
      </c>
      <c r="K198" s="34" t="s">
        <v>419</v>
      </c>
      <c r="L198" s="35">
        <v>1</v>
      </c>
      <c r="M198" s="34" t="s">
        <v>65</v>
      </c>
      <c r="N198" s="32" t="s">
        <v>904</v>
      </c>
      <c r="O198" s="32" t="s">
        <v>1</v>
      </c>
      <c r="P198" s="32" t="s">
        <v>888</v>
      </c>
      <c r="Q198" s="269" t="s">
        <v>1</v>
      </c>
      <c r="R198" s="269"/>
      <c r="S198" s="45">
        <v>1</v>
      </c>
    </row>
    <row r="199" spans="1:19" s="41" customFormat="1" ht="45" customHeight="1">
      <c r="A199" s="44">
        <f t="shared" si="2"/>
        <v>194</v>
      </c>
      <c r="B199" s="82" t="s">
        <v>685</v>
      </c>
      <c r="C199" s="31" t="s">
        <v>212</v>
      </c>
      <c r="D199" s="31" t="s">
        <v>679</v>
      </c>
      <c r="E199" s="31" t="s">
        <v>63</v>
      </c>
      <c r="F199" s="32" t="s">
        <v>76</v>
      </c>
      <c r="G199" s="32" t="s">
        <v>83</v>
      </c>
      <c r="H199" s="60">
        <v>0</v>
      </c>
      <c r="I199" s="60">
        <v>1</v>
      </c>
      <c r="J199" s="34" t="s">
        <v>1102</v>
      </c>
      <c r="K199" s="34" t="s">
        <v>1103</v>
      </c>
      <c r="L199" s="43">
        <v>1</v>
      </c>
      <c r="M199" s="34" t="s">
        <v>52</v>
      </c>
      <c r="N199" s="32" t="s">
        <v>904</v>
      </c>
      <c r="O199" s="32" t="s">
        <v>1</v>
      </c>
      <c r="P199" s="32" t="s">
        <v>1</v>
      </c>
      <c r="Q199" s="271" t="s">
        <v>1240</v>
      </c>
      <c r="R199" s="271"/>
      <c r="S199" s="45">
        <v>1</v>
      </c>
    </row>
    <row r="200" spans="1:19" s="113" customFormat="1" ht="45" customHeight="1">
      <c r="A200" s="44">
        <f t="shared" ref="A200:A263" si="3">A199+1</f>
        <v>195</v>
      </c>
      <c r="B200" s="115" t="s">
        <v>686</v>
      </c>
      <c r="C200" s="115" t="s">
        <v>806</v>
      </c>
      <c r="D200" s="115" t="s">
        <v>687</v>
      </c>
      <c r="E200" s="115" t="s">
        <v>337</v>
      </c>
      <c r="F200" s="116" t="s">
        <v>338</v>
      </c>
      <c r="G200" s="116" t="s">
        <v>83</v>
      </c>
      <c r="H200" s="117" t="s">
        <v>336</v>
      </c>
      <c r="I200" s="117" t="s">
        <v>1304</v>
      </c>
      <c r="J200" s="118" t="s">
        <v>1104</v>
      </c>
      <c r="K200" s="118" t="s">
        <v>1105</v>
      </c>
      <c r="L200" s="118">
        <v>1</v>
      </c>
      <c r="M200" s="118" t="s">
        <v>52</v>
      </c>
      <c r="N200" s="116" t="s">
        <v>904</v>
      </c>
      <c r="O200" s="116" t="s">
        <v>1</v>
      </c>
      <c r="P200" s="116" t="s">
        <v>1</v>
      </c>
      <c r="Q200" s="272" t="s">
        <v>1</v>
      </c>
      <c r="R200" s="272"/>
      <c r="S200" s="119">
        <v>5</v>
      </c>
    </row>
    <row r="201" spans="1:19" s="41" customFormat="1" ht="45" customHeight="1">
      <c r="A201" s="44">
        <f t="shared" si="3"/>
        <v>196</v>
      </c>
      <c r="B201" s="82" t="s">
        <v>688</v>
      </c>
      <c r="C201" s="31" t="s">
        <v>213</v>
      </c>
      <c r="D201" s="31" t="s">
        <v>689</v>
      </c>
      <c r="E201" s="31" t="s">
        <v>66</v>
      </c>
      <c r="F201" s="31" t="s">
        <v>29</v>
      </c>
      <c r="G201" s="32" t="s">
        <v>48</v>
      </c>
      <c r="H201" s="33" t="s">
        <v>1</v>
      </c>
      <c r="I201" s="33" t="s">
        <v>1</v>
      </c>
      <c r="J201" s="34" t="s">
        <v>1092</v>
      </c>
      <c r="K201" s="34" t="s">
        <v>1106</v>
      </c>
      <c r="L201" s="33">
        <v>1</v>
      </c>
      <c r="M201" s="34" t="s">
        <v>52</v>
      </c>
      <c r="N201" s="32" t="s">
        <v>904</v>
      </c>
      <c r="O201" s="32" t="s">
        <v>1</v>
      </c>
      <c r="P201" s="32" t="s">
        <v>1</v>
      </c>
      <c r="Q201" s="269" t="s">
        <v>1</v>
      </c>
      <c r="R201" s="269"/>
      <c r="S201" s="45">
        <v>1</v>
      </c>
    </row>
    <row r="202" spans="1:19" s="41" customFormat="1" ht="45" customHeight="1">
      <c r="A202" s="44">
        <f t="shared" si="3"/>
        <v>197</v>
      </c>
      <c r="B202" s="82" t="s">
        <v>690</v>
      </c>
      <c r="C202" s="31" t="s">
        <v>213</v>
      </c>
      <c r="D202" s="31" t="s">
        <v>689</v>
      </c>
      <c r="E202" s="31" t="s">
        <v>66</v>
      </c>
      <c r="F202" s="31" t="s">
        <v>29</v>
      </c>
      <c r="G202" s="32" t="s">
        <v>48</v>
      </c>
      <c r="H202" s="33" t="s">
        <v>1</v>
      </c>
      <c r="I202" s="33" t="s">
        <v>1</v>
      </c>
      <c r="J202" s="34" t="s">
        <v>1092</v>
      </c>
      <c r="K202" s="34" t="s">
        <v>1106</v>
      </c>
      <c r="L202" s="33">
        <v>1</v>
      </c>
      <c r="M202" s="34" t="s">
        <v>52</v>
      </c>
      <c r="N202" s="32" t="s">
        <v>904</v>
      </c>
      <c r="O202" s="32" t="s">
        <v>1</v>
      </c>
      <c r="P202" s="32" t="s">
        <v>1</v>
      </c>
      <c r="Q202" s="269" t="s">
        <v>1</v>
      </c>
      <c r="R202" s="269"/>
      <c r="S202" s="45">
        <v>1</v>
      </c>
    </row>
    <row r="203" spans="1:19" s="41" customFormat="1" ht="45" customHeight="1">
      <c r="A203" s="44">
        <f t="shared" si="3"/>
        <v>198</v>
      </c>
      <c r="B203" s="82" t="s">
        <v>691</v>
      </c>
      <c r="C203" s="31" t="s">
        <v>214</v>
      </c>
      <c r="D203" s="31" t="s">
        <v>689</v>
      </c>
      <c r="E203" s="31" t="s">
        <v>66</v>
      </c>
      <c r="F203" s="32" t="s">
        <v>29</v>
      </c>
      <c r="G203" s="32" t="s">
        <v>48</v>
      </c>
      <c r="H203" s="42" t="s">
        <v>1</v>
      </c>
      <c r="I203" s="42" t="s">
        <v>1</v>
      </c>
      <c r="J203" s="34" t="s">
        <v>1092</v>
      </c>
      <c r="K203" s="34" t="s">
        <v>1106</v>
      </c>
      <c r="L203" s="34">
        <v>1</v>
      </c>
      <c r="M203" s="34" t="s">
        <v>52</v>
      </c>
      <c r="N203" s="32" t="s">
        <v>904</v>
      </c>
      <c r="O203" s="32" t="s">
        <v>1</v>
      </c>
      <c r="P203" s="32" t="s">
        <v>1</v>
      </c>
      <c r="Q203" s="269" t="s">
        <v>1</v>
      </c>
      <c r="R203" s="269"/>
      <c r="S203" s="45">
        <v>1</v>
      </c>
    </row>
    <row r="204" spans="1:19" s="41" customFormat="1" ht="45" customHeight="1">
      <c r="A204" s="44">
        <f t="shared" si="3"/>
        <v>199</v>
      </c>
      <c r="B204" s="82" t="s">
        <v>692</v>
      </c>
      <c r="C204" s="31" t="s">
        <v>214</v>
      </c>
      <c r="D204" s="31" t="s">
        <v>689</v>
      </c>
      <c r="E204" s="31" t="s">
        <v>66</v>
      </c>
      <c r="F204" s="32" t="s">
        <v>29</v>
      </c>
      <c r="G204" s="32" t="s">
        <v>48</v>
      </c>
      <c r="H204" s="42" t="s">
        <v>1</v>
      </c>
      <c r="I204" s="42" t="s">
        <v>1</v>
      </c>
      <c r="J204" s="34" t="s">
        <v>1092</v>
      </c>
      <c r="K204" s="34" t="s">
        <v>1106</v>
      </c>
      <c r="L204" s="34">
        <v>1</v>
      </c>
      <c r="M204" s="34" t="s">
        <v>52</v>
      </c>
      <c r="N204" s="32" t="s">
        <v>904</v>
      </c>
      <c r="O204" s="32" t="s">
        <v>1</v>
      </c>
      <c r="P204" s="32" t="s">
        <v>1</v>
      </c>
      <c r="Q204" s="269" t="s">
        <v>1</v>
      </c>
      <c r="R204" s="269"/>
      <c r="S204" s="45">
        <v>1</v>
      </c>
    </row>
    <row r="205" spans="1:19" s="41" customFormat="1" ht="45" customHeight="1">
      <c r="A205" s="44">
        <f t="shared" si="3"/>
        <v>200</v>
      </c>
      <c r="B205" s="83" t="s">
        <v>693</v>
      </c>
      <c r="C205" s="31" t="s">
        <v>1</v>
      </c>
      <c r="D205" s="43" t="s">
        <v>689</v>
      </c>
      <c r="E205" s="31" t="s">
        <v>66</v>
      </c>
      <c r="F205" s="43" t="s">
        <v>29</v>
      </c>
      <c r="G205" s="32" t="s">
        <v>48</v>
      </c>
      <c r="H205" s="42" t="s">
        <v>1</v>
      </c>
      <c r="I205" s="42" t="s">
        <v>1</v>
      </c>
      <c r="J205" s="34" t="s">
        <v>421</v>
      </c>
      <c r="K205" s="34" t="s">
        <v>420</v>
      </c>
      <c r="L205" s="43">
        <v>1</v>
      </c>
      <c r="M205" s="34" t="s">
        <v>65</v>
      </c>
      <c r="N205" s="32" t="s">
        <v>904</v>
      </c>
      <c r="O205" s="32" t="s">
        <v>1</v>
      </c>
      <c r="P205" s="32" t="s">
        <v>889</v>
      </c>
      <c r="Q205" s="269" t="s">
        <v>1</v>
      </c>
      <c r="R205" s="269"/>
      <c r="S205" s="45">
        <v>1</v>
      </c>
    </row>
    <row r="206" spans="1:19" s="41" customFormat="1" ht="45" customHeight="1">
      <c r="A206" s="44">
        <f t="shared" si="3"/>
        <v>201</v>
      </c>
      <c r="B206" s="83" t="s">
        <v>694</v>
      </c>
      <c r="C206" s="31" t="s">
        <v>1</v>
      </c>
      <c r="D206" s="43" t="s">
        <v>689</v>
      </c>
      <c r="E206" s="31" t="s">
        <v>66</v>
      </c>
      <c r="F206" s="43" t="s">
        <v>29</v>
      </c>
      <c r="G206" s="43" t="s">
        <v>48</v>
      </c>
      <c r="H206" s="42" t="s">
        <v>1</v>
      </c>
      <c r="I206" s="42" t="s">
        <v>1</v>
      </c>
      <c r="J206" s="34" t="s">
        <v>421</v>
      </c>
      <c r="K206" s="34" t="s">
        <v>420</v>
      </c>
      <c r="L206" s="34">
        <v>1</v>
      </c>
      <c r="M206" s="34" t="s">
        <v>65</v>
      </c>
      <c r="N206" s="32" t="s">
        <v>904</v>
      </c>
      <c r="O206" s="32" t="s">
        <v>1</v>
      </c>
      <c r="P206" s="32" t="s">
        <v>889</v>
      </c>
      <c r="Q206" s="269" t="s">
        <v>1</v>
      </c>
      <c r="R206" s="269"/>
      <c r="S206" s="45">
        <v>1</v>
      </c>
    </row>
    <row r="207" spans="1:19" s="41" customFormat="1" ht="45" customHeight="1">
      <c r="A207" s="44">
        <f t="shared" si="3"/>
        <v>202</v>
      </c>
      <c r="B207" s="82" t="s">
        <v>695</v>
      </c>
      <c r="C207" s="31" t="s">
        <v>215</v>
      </c>
      <c r="D207" s="31" t="s">
        <v>689</v>
      </c>
      <c r="E207" s="31" t="s">
        <v>288</v>
      </c>
      <c r="F207" s="32" t="s">
        <v>252</v>
      </c>
      <c r="G207" s="32" t="s">
        <v>83</v>
      </c>
      <c r="H207" s="42" t="s">
        <v>972</v>
      </c>
      <c r="I207" s="42" t="s">
        <v>975</v>
      </c>
      <c r="J207" s="34" t="s">
        <v>1059</v>
      </c>
      <c r="K207" s="34" t="s">
        <v>1094</v>
      </c>
      <c r="L207" s="34">
        <v>1</v>
      </c>
      <c r="M207" s="34" t="s">
        <v>52</v>
      </c>
      <c r="N207" s="32" t="s">
        <v>907</v>
      </c>
      <c r="O207" s="32" t="s">
        <v>1</v>
      </c>
      <c r="P207" s="32" t="s">
        <v>1</v>
      </c>
      <c r="Q207" s="269" t="s">
        <v>1</v>
      </c>
      <c r="R207" s="269"/>
      <c r="S207" s="45">
        <v>1</v>
      </c>
    </row>
    <row r="208" spans="1:19" s="41" customFormat="1" ht="45" customHeight="1">
      <c r="A208" s="44">
        <f t="shared" si="3"/>
        <v>203</v>
      </c>
      <c r="B208" s="82" t="s">
        <v>696</v>
      </c>
      <c r="C208" s="31" t="s">
        <v>216</v>
      </c>
      <c r="D208" s="31" t="s">
        <v>689</v>
      </c>
      <c r="E208" s="31" t="s">
        <v>101</v>
      </c>
      <c r="F208" s="32" t="s">
        <v>31</v>
      </c>
      <c r="G208" s="32" t="s">
        <v>83</v>
      </c>
      <c r="H208" s="64" t="s">
        <v>977</v>
      </c>
      <c r="I208" s="33" t="s">
        <v>972</v>
      </c>
      <c r="J208" s="34" t="s">
        <v>1059</v>
      </c>
      <c r="K208" s="34" t="s">
        <v>1068</v>
      </c>
      <c r="L208" s="35">
        <v>1</v>
      </c>
      <c r="M208" s="34" t="s">
        <v>52</v>
      </c>
      <c r="N208" s="32" t="s">
        <v>907</v>
      </c>
      <c r="O208" s="32" t="s">
        <v>1</v>
      </c>
      <c r="P208" s="32" t="s">
        <v>1</v>
      </c>
      <c r="Q208" s="269" t="s">
        <v>1</v>
      </c>
      <c r="R208" s="269"/>
      <c r="S208" s="45">
        <v>1</v>
      </c>
    </row>
    <row r="209" spans="1:19" s="41" customFormat="1" ht="45" customHeight="1">
      <c r="A209" s="44">
        <f t="shared" si="3"/>
        <v>204</v>
      </c>
      <c r="B209" s="82" t="s">
        <v>697</v>
      </c>
      <c r="C209" s="31" t="s">
        <v>217</v>
      </c>
      <c r="D209" s="31" t="s">
        <v>689</v>
      </c>
      <c r="E209" s="31" t="s">
        <v>102</v>
      </c>
      <c r="F209" s="32" t="s">
        <v>31</v>
      </c>
      <c r="G209" s="32" t="s">
        <v>83</v>
      </c>
      <c r="H209" s="64" t="s">
        <v>976</v>
      </c>
      <c r="I209" s="33" t="s">
        <v>972</v>
      </c>
      <c r="J209" s="34" t="s">
        <v>1059</v>
      </c>
      <c r="K209" s="34" t="s">
        <v>1068</v>
      </c>
      <c r="L209" s="43">
        <v>1</v>
      </c>
      <c r="M209" s="34" t="s">
        <v>52</v>
      </c>
      <c r="N209" s="32" t="s">
        <v>907</v>
      </c>
      <c r="O209" s="32" t="s">
        <v>1</v>
      </c>
      <c r="P209" s="32" t="s">
        <v>1</v>
      </c>
      <c r="Q209" s="269" t="s">
        <v>1</v>
      </c>
      <c r="R209" s="269"/>
      <c r="S209" s="45">
        <v>1</v>
      </c>
    </row>
    <row r="210" spans="1:19" s="41" customFormat="1" ht="45" customHeight="1">
      <c r="A210" s="44">
        <f t="shared" si="3"/>
        <v>205</v>
      </c>
      <c r="B210" s="82" t="s">
        <v>698</v>
      </c>
      <c r="C210" s="31" t="s">
        <v>218</v>
      </c>
      <c r="D210" s="31" t="s">
        <v>689</v>
      </c>
      <c r="E210" s="32" t="s">
        <v>103</v>
      </c>
      <c r="F210" s="32" t="s">
        <v>31</v>
      </c>
      <c r="G210" s="32" t="s">
        <v>83</v>
      </c>
      <c r="H210" s="60" t="s">
        <v>972</v>
      </c>
      <c r="I210" s="60" t="s">
        <v>974</v>
      </c>
      <c r="J210" s="34" t="s">
        <v>1092</v>
      </c>
      <c r="K210" s="34" t="s">
        <v>1107</v>
      </c>
      <c r="L210" s="43">
        <v>1</v>
      </c>
      <c r="M210" s="34" t="s">
        <v>52</v>
      </c>
      <c r="N210" s="32" t="s">
        <v>907</v>
      </c>
      <c r="O210" s="32" t="s">
        <v>1</v>
      </c>
      <c r="P210" s="32" t="s">
        <v>1</v>
      </c>
      <c r="Q210" s="269" t="s">
        <v>1</v>
      </c>
      <c r="R210" s="269"/>
      <c r="S210" s="45">
        <v>1</v>
      </c>
    </row>
    <row r="211" spans="1:19" s="41" customFormat="1" ht="45" customHeight="1">
      <c r="A211" s="44">
        <f t="shared" si="3"/>
        <v>206</v>
      </c>
      <c r="B211" s="82" t="s">
        <v>699</v>
      </c>
      <c r="C211" s="31" t="s">
        <v>219</v>
      </c>
      <c r="D211" s="31" t="s">
        <v>689</v>
      </c>
      <c r="E211" s="32" t="s">
        <v>67</v>
      </c>
      <c r="F211" s="32" t="s">
        <v>68</v>
      </c>
      <c r="G211" s="32" t="s">
        <v>48</v>
      </c>
      <c r="H211" s="42" t="s">
        <v>1</v>
      </c>
      <c r="I211" s="60" t="s">
        <v>1</v>
      </c>
      <c r="J211" s="34" t="s">
        <v>1096</v>
      </c>
      <c r="K211" s="34" t="s">
        <v>1108</v>
      </c>
      <c r="L211" s="43">
        <v>1</v>
      </c>
      <c r="M211" s="34" t="s">
        <v>52</v>
      </c>
      <c r="N211" s="32" t="s">
        <v>907</v>
      </c>
      <c r="O211" s="32" t="s">
        <v>1</v>
      </c>
      <c r="P211" s="32" t="s">
        <v>1</v>
      </c>
      <c r="Q211" s="269" t="s">
        <v>1249</v>
      </c>
      <c r="R211" s="269"/>
      <c r="S211" s="45">
        <v>1</v>
      </c>
    </row>
    <row r="212" spans="1:19" s="41" customFormat="1" ht="45" customHeight="1">
      <c r="A212" s="44">
        <f t="shared" si="3"/>
        <v>207</v>
      </c>
      <c r="B212" s="82" t="s">
        <v>700</v>
      </c>
      <c r="C212" s="31" t="s">
        <v>220</v>
      </c>
      <c r="D212" s="31" t="s">
        <v>689</v>
      </c>
      <c r="E212" s="32" t="s">
        <v>104</v>
      </c>
      <c r="F212" s="32" t="s">
        <v>88</v>
      </c>
      <c r="G212" s="32" t="s">
        <v>89</v>
      </c>
      <c r="H212" s="33" t="s">
        <v>113</v>
      </c>
      <c r="I212" s="33" t="s">
        <v>448</v>
      </c>
      <c r="J212" s="34" t="s">
        <v>1059</v>
      </c>
      <c r="K212" s="34" t="s">
        <v>1098</v>
      </c>
      <c r="L212" s="43">
        <v>1</v>
      </c>
      <c r="M212" s="34" t="s">
        <v>52</v>
      </c>
      <c r="N212" s="32" t="s">
        <v>907</v>
      </c>
      <c r="O212" s="32" t="s">
        <v>1</v>
      </c>
      <c r="P212" s="32" t="s">
        <v>1</v>
      </c>
      <c r="Q212" s="269" t="s">
        <v>1</v>
      </c>
      <c r="R212" s="269"/>
      <c r="S212" s="45">
        <v>1</v>
      </c>
    </row>
    <row r="213" spans="1:19" s="65" customFormat="1" ht="45" customHeight="1">
      <c r="A213" s="44">
        <f t="shared" si="3"/>
        <v>208</v>
      </c>
      <c r="B213" s="82" t="s">
        <v>701</v>
      </c>
      <c r="C213" s="31" t="s">
        <v>1</v>
      </c>
      <c r="D213" s="31" t="s">
        <v>689</v>
      </c>
      <c r="E213" s="31" t="s">
        <v>105</v>
      </c>
      <c r="F213" s="32" t="s">
        <v>88</v>
      </c>
      <c r="G213" s="32" t="s">
        <v>89</v>
      </c>
      <c r="H213" s="33" t="s">
        <v>113</v>
      </c>
      <c r="I213" s="33" t="s">
        <v>329</v>
      </c>
      <c r="J213" s="34" t="s">
        <v>425</v>
      </c>
      <c r="K213" s="34" t="s">
        <v>427</v>
      </c>
      <c r="L213" s="43">
        <v>1</v>
      </c>
      <c r="M213" s="34" t="s">
        <v>65</v>
      </c>
      <c r="N213" s="32" t="s">
        <v>907</v>
      </c>
      <c r="O213" s="32" t="s">
        <v>1</v>
      </c>
      <c r="P213" s="32" t="s">
        <v>892</v>
      </c>
      <c r="Q213" s="269" t="s">
        <v>1</v>
      </c>
      <c r="R213" s="269"/>
      <c r="S213" s="45">
        <v>1</v>
      </c>
    </row>
    <row r="214" spans="1:19" s="65" customFormat="1" ht="45" customHeight="1">
      <c r="A214" s="44">
        <f t="shared" si="3"/>
        <v>209</v>
      </c>
      <c r="B214" s="82" t="s">
        <v>702</v>
      </c>
      <c r="C214" s="31" t="s">
        <v>221</v>
      </c>
      <c r="D214" s="31" t="s">
        <v>703</v>
      </c>
      <c r="E214" s="31" t="s">
        <v>106</v>
      </c>
      <c r="F214" s="32" t="s">
        <v>88</v>
      </c>
      <c r="G214" s="32" t="s">
        <v>89</v>
      </c>
      <c r="H214" s="33" t="s">
        <v>113</v>
      </c>
      <c r="I214" s="33" t="s">
        <v>330</v>
      </c>
      <c r="J214" s="34" t="s">
        <v>414</v>
      </c>
      <c r="K214" s="34" t="s">
        <v>414</v>
      </c>
      <c r="L214" s="42">
        <v>2</v>
      </c>
      <c r="M214" s="34" t="s">
        <v>52</v>
      </c>
      <c r="N214" s="32" t="s">
        <v>904</v>
      </c>
      <c r="O214" s="32" t="s">
        <v>1</v>
      </c>
      <c r="P214" s="32" t="s">
        <v>1</v>
      </c>
      <c r="Q214" s="269" t="s">
        <v>1</v>
      </c>
      <c r="R214" s="269"/>
      <c r="S214" s="45">
        <v>1</v>
      </c>
    </row>
    <row r="215" spans="1:19" s="65" customFormat="1" ht="45" customHeight="1">
      <c r="A215" s="44">
        <f t="shared" si="3"/>
        <v>210</v>
      </c>
      <c r="B215" s="82" t="s">
        <v>704</v>
      </c>
      <c r="C215" s="31" t="s">
        <v>222</v>
      </c>
      <c r="D215" s="31" t="s">
        <v>703</v>
      </c>
      <c r="E215" s="31" t="s">
        <v>107</v>
      </c>
      <c r="F215" s="32" t="s">
        <v>88</v>
      </c>
      <c r="G215" s="32" t="s">
        <v>89</v>
      </c>
      <c r="H215" s="33" t="s">
        <v>113</v>
      </c>
      <c r="I215" s="33" t="s">
        <v>330</v>
      </c>
      <c r="J215" s="34" t="s">
        <v>414</v>
      </c>
      <c r="K215" s="34" t="s">
        <v>414</v>
      </c>
      <c r="L215" s="42">
        <v>2</v>
      </c>
      <c r="M215" s="34" t="s">
        <v>52</v>
      </c>
      <c r="N215" s="32" t="s">
        <v>904</v>
      </c>
      <c r="O215" s="32" t="s">
        <v>1</v>
      </c>
      <c r="P215" s="32" t="s">
        <v>1</v>
      </c>
      <c r="Q215" s="269" t="s">
        <v>1</v>
      </c>
      <c r="R215" s="269"/>
      <c r="S215" s="45">
        <v>1</v>
      </c>
    </row>
    <row r="216" spans="1:19" s="41" customFormat="1" ht="45" customHeight="1">
      <c r="A216" s="44">
        <f t="shared" si="3"/>
        <v>211</v>
      </c>
      <c r="B216" s="82" t="s">
        <v>705</v>
      </c>
      <c r="C216" s="31" t="s">
        <v>223</v>
      </c>
      <c r="D216" s="31" t="s">
        <v>703</v>
      </c>
      <c r="E216" s="31" t="s">
        <v>108</v>
      </c>
      <c r="F216" s="32" t="s">
        <v>88</v>
      </c>
      <c r="G216" s="32" t="s">
        <v>89</v>
      </c>
      <c r="H216" s="33" t="s">
        <v>113</v>
      </c>
      <c r="I216" s="33" t="s">
        <v>330</v>
      </c>
      <c r="J216" s="34" t="s">
        <v>414</v>
      </c>
      <c r="K216" s="34" t="s">
        <v>414</v>
      </c>
      <c r="L216" s="35">
        <v>2</v>
      </c>
      <c r="M216" s="34" t="s">
        <v>52</v>
      </c>
      <c r="N216" s="32" t="s">
        <v>904</v>
      </c>
      <c r="O216" s="32" t="s">
        <v>1</v>
      </c>
      <c r="P216" s="32" t="s">
        <v>1</v>
      </c>
      <c r="Q216" s="269" t="s">
        <v>1</v>
      </c>
      <c r="R216" s="269"/>
      <c r="S216" s="45">
        <v>1</v>
      </c>
    </row>
    <row r="217" spans="1:19" s="41" customFormat="1" ht="45" customHeight="1">
      <c r="A217" s="44">
        <f t="shared" si="3"/>
        <v>212</v>
      </c>
      <c r="B217" s="82" t="s">
        <v>706</v>
      </c>
      <c r="C217" s="31" t="s">
        <v>224</v>
      </c>
      <c r="D217" s="31" t="s">
        <v>703</v>
      </c>
      <c r="E217" s="31" t="s">
        <v>144</v>
      </c>
      <c r="F217" s="32" t="s">
        <v>88</v>
      </c>
      <c r="G217" s="32" t="s">
        <v>89</v>
      </c>
      <c r="H217" s="33" t="s">
        <v>113</v>
      </c>
      <c r="I217" s="33" t="s">
        <v>318</v>
      </c>
      <c r="J217" s="34" t="s">
        <v>414</v>
      </c>
      <c r="K217" s="34" t="s">
        <v>414</v>
      </c>
      <c r="L217" s="43">
        <v>1</v>
      </c>
      <c r="M217" s="34" t="s">
        <v>52</v>
      </c>
      <c r="N217" s="32" t="s">
        <v>904</v>
      </c>
      <c r="O217" s="32" t="s">
        <v>1</v>
      </c>
      <c r="P217" s="32" t="s">
        <v>1</v>
      </c>
      <c r="Q217" s="269" t="s">
        <v>1</v>
      </c>
      <c r="R217" s="269"/>
      <c r="S217" s="45">
        <v>1</v>
      </c>
    </row>
    <row r="218" spans="1:19" s="41" customFormat="1" ht="45" customHeight="1">
      <c r="A218" s="44">
        <f t="shared" si="3"/>
        <v>213</v>
      </c>
      <c r="B218" s="82" t="s">
        <v>707</v>
      </c>
      <c r="C218" s="31" t="s">
        <v>225</v>
      </c>
      <c r="D218" s="31" t="s">
        <v>703</v>
      </c>
      <c r="E218" s="31" t="s">
        <v>145</v>
      </c>
      <c r="F218" s="32" t="s">
        <v>88</v>
      </c>
      <c r="G218" s="32" t="s">
        <v>89</v>
      </c>
      <c r="H218" s="33" t="s">
        <v>113</v>
      </c>
      <c r="I218" s="33" t="s">
        <v>318</v>
      </c>
      <c r="J218" s="34" t="s">
        <v>414</v>
      </c>
      <c r="K218" s="34" t="s">
        <v>414</v>
      </c>
      <c r="L218" s="43">
        <v>1</v>
      </c>
      <c r="M218" s="34" t="s">
        <v>52</v>
      </c>
      <c r="N218" s="32" t="s">
        <v>904</v>
      </c>
      <c r="O218" s="32" t="s">
        <v>1</v>
      </c>
      <c r="P218" s="32" t="s">
        <v>1</v>
      </c>
      <c r="Q218" s="269" t="s">
        <v>1</v>
      </c>
      <c r="R218" s="269"/>
      <c r="S218" s="45">
        <v>1</v>
      </c>
    </row>
    <row r="219" spans="1:19" s="41" customFormat="1" ht="45" customHeight="1">
      <c r="A219" s="44">
        <f t="shared" si="3"/>
        <v>214</v>
      </c>
      <c r="B219" s="82" t="s">
        <v>708</v>
      </c>
      <c r="C219" s="31" t="s">
        <v>1</v>
      </c>
      <c r="D219" s="31" t="s">
        <v>703</v>
      </c>
      <c r="E219" s="31" t="s">
        <v>109</v>
      </c>
      <c r="F219" s="32" t="s">
        <v>91</v>
      </c>
      <c r="G219" s="32" t="s">
        <v>83</v>
      </c>
      <c r="H219" s="33" t="s">
        <v>333</v>
      </c>
      <c r="I219" s="33" t="s">
        <v>92</v>
      </c>
      <c r="J219" s="34" t="s">
        <v>93</v>
      </c>
      <c r="K219" s="34" t="s">
        <v>94</v>
      </c>
      <c r="L219" s="43">
        <v>1</v>
      </c>
      <c r="M219" s="34" t="s">
        <v>65</v>
      </c>
      <c r="N219" s="32" t="s">
        <v>904</v>
      </c>
      <c r="O219" s="32" t="s">
        <v>1</v>
      </c>
      <c r="P219" s="32" t="s">
        <v>898</v>
      </c>
      <c r="Q219" s="269" t="s">
        <v>1</v>
      </c>
      <c r="R219" s="269"/>
      <c r="S219" s="45">
        <v>1</v>
      </c>
    </row>
    <row r="220" spans="1:19" s="41" customFormat="1" ht="45" customHeight="1">
      <c r="A220" s="44">
        <f t="shared" si="3"/>
        <v>215</v>
      </c>
      <c r="B220" s="82" t="s">
        <v>709</v>
      </c>
      <c r="C220" s="31" t="s">
        <v>388</v>
      </c>
      <c r="D220" s="31" t="s">
        <v>703</v>
      </c>
      <c r="E220" s="31" t="s">
        <v>120</v>
      </c>
      <c r="F220" s="32" t="s">
        <v>91</v>
      </c>
      <c r="G220" s="32" t="s">
        <v>83</v>
      </c>
      <c r="H220" s="33" t="s">
        <v>333</v>
      </c>
      <c r="I220" s="33" t="s">
        <v>335</v>
      </c>
      <c r="J220" s="34" t="s">
        <v>93</v>
      </c>
      <c r="K220" s="34" t="s">
        <v>94</v>
      </c>
      <c r="L220" s="43">
        <v>1</v>
      </c>
      <c r="M220" s="34" t="s">
        <v>52</v>
      </c>
      <c r="N220" s="32" t="s">
        <v>904</v>
      </c>
      <c r="O220" s="32" t="s">
        <v>1</v>
      </c>
      <c r="P220" s="32" t="s">
        <v>1</v>
      </c>
      <c r="Q220" s="269" t="s">
        <v>1</v>
      </c>
      <c r="R220" s="269"/>
      <c r="S220" s="45">
        <v>1</v>
      </c>
    </row>
    <row r="221" spans="1:19" s="41" customFormat="1" ht="45" customHeight="1">
      <c r="A221" s="44">
        <f t="shared" si="3"/>
        <v>216</v>
      </c>
      <c r="B221" s="82" t="s">
        <v>710</v>
      </c>
      <c r="C221" s="31" t="s">
        <v>389</v>
      </c>
      <c r="D221" s="31" t="s">
        <v>703</v>
      </c>
      <c r="E221" s="31" t="s">
        <v>110</v>
      </c>
      <c r="F221" s="32" t="s">
        <v>91</v>
      </c>
      <c r="G221" s="32" t="s">
        <v>83</v>
      </c>
      <c r="H221" s="33" t="s">
        <v>333</v>
      </c>
      <c r="I221" s="33" t="s">
        <v>335</v>
      </c>
      <c r="J221" s="34" t="s">
        <v>93</v>
      </c>
      <c r="K221" s="34" t="s">
        <v>94</v>
      </c>
      <c r="L221" s="43">
        <v>1</v>
      </c>
      <c r="M221" s="34" t="s">
        <v>52</v>
      </c>
      <c r="N221" s="32" t="s">
        <v>904</v>
      </c>
      <c r="O221" s="32" t="s">
        <v>1</v>
      </c>
      <c r="P221" s="32" t="s">
        <v>1</v>
      </c>
      <c r="Q221" s="269" t="s">
        <v>1</v>
      </c>
      <c r="R221" s="269"/>
      <c r="S221" s="45">
        <v>1</v>
      </c>
    </row>
    <row r="222" spans="1:19" s="41" customFormat="1" ht="45" customHeight="1">
      <c r="A222" s="44">
        <f t="shared" si="3"/>
        <v>217</v>
      </c>
      <c r="B222" s="82" t="s">
        <v>711</v>
      </c>
      <c r="C222" s="31" t="s">
        <v>227</v>
      </c>
      <c r="D222" s="31" t="s">
        <v>712</v>
      </c>
      <c r="E222" s="31" t="s">
        <v>118</v>
      </c>
      <c r="F222" s="31" t="s">
        <v>88</v>
      </c>
      <c r="G222" s="32" t="s">
        <v>89</v>
      </c>
      <c r="H222" s="33" t="s">
        <v>113</v>
      </c>
      <c r="I222" s="33" t="s">
        <v>318</v>
      </c>
      <c r="J222" s="34" t="s">
        <v>1083</v>
      </c>
      <c r="K222" s="34" t="s">
        <v>1141</v>
      </c>
      <c r="L222" s="34">
        <v>1</v>
      </c>
      <c r="M222" s="34" t="s">
        <v>52</v>
      </c>
      <c r="N222" s="32" t="s">
        <v>904</v>
      </c>
      <c r="O222" s="32" t="s">
        <v>1</v>
      </c>
      <c r="P222" s="32" t="s">
        <v>1</v>
      </c>
      <c r="Q222" s="269" t="s">
        <v>1</v>
      </c>
      <c r="R222" s="269"/>
      <c r="S222" s="45">
        <v>1</v>
      </c>
    </row>
    <row r="223" spans="1:19" s="41" customFormat="1" ht="45" customHeight="1">
      <c r="A223" s="44">
        <f t="shared" si="3"/>
        <v>218</v>
      </c>
      <c r="B223" s="82" t="s">
        <v>713</v>
      </c>
      <c r="C223" s="31" t="s">
        <v>228</v>
      </c>
      <c r="D223" s="31" t="s">
        <v>712</v>
      </c>
      <c r="E223" s="31" t="s">
        <v>119</v>
      </c>
      <c r="F223" s="31" t="s">
        <v>88</v>
      </c>
      <c r="G223" s="32" t="s">
        <v>89</v>
      </c>
      <c r="H223" s="33" t="s">
        <v>113</v>
      </c>
      <c r="I223" s="33" t="s">
        <v>318</v>
      </c>
      <c r="J223" s="34" t="s">
        <v>1083</v>
      </c>
      <c r="K223" s="34" t="s">
        <v>1141</v>
      </c>
      <c r="L223" s="34">
        <v>1</v>
      </c>
      <c r="M223" s="34" t="s">
        <v>52</v>
      </c>
      <c r="N223" s="32" t="s">
        <v>904</v>
      </c>
      <c r="O223" s="32" t="s">
        <v>1</v>
      </c>
      <c r="P223" s="32" t="s">
        <v>1</v>
      </c>
      <c r="Q223" s="269" t="s">
        <v>1</v>
      </c>
      <c r="R223" s="269"/>
      <c r="S223" s="45">
        <v>1</v>
      </c>
    </row>
    <row r="224" spans="1:19" s="41" customFormat="1" ht="45" customHeight="1">
      <c r="A224" s="44">
        <f t="shared" si="3"/>
        <v>219</v>
      </c>
      <c r="B224" s="82" t="s">
        <v>714</v>
      </c>
      <c r="C224" s="31" t="s">
        <v>226</v>
      </c>
      <c r="D224" s="31" t="s">
        <v>712</v>
      </c>
      <c r="E224" s="31" t="s">
        <v>372</v>
      </c>
      <c r="F224" s="32" t="s">
        <v>91</v>
      </c>
      <c r="G224" s="32" t="s">
        <v>83</v>
      </c>
      <c r="H224" s="33" t="s">
        <v>333</v>
      </c>
      <c r="I224" s="33" t="s">
        <v>335</v>
      </c>
      <c r="J224" s="34" t="s">
        <v>93</v>
      </c>
      <c r="K224" s="34" t="s">
        <v>94</v>
      </c>
      <c r="L224" s="42">
        <v>1</v>
      </c>
      <c r="M224" s="34" t="s">
        <v>52</v>
      </c>
      <c r="N224" s="32" t="s">
        <v>904</v>
      </c>
      <c r="O224" s="32" t="s">
        <v>1</v>
      </c>
      <c r="P224" s="32" t="s">
        <v>1</v>
      </c>
      <c r="Q224" s="269" t="s">
        <v>1</v>
      </c>
      <c r="R224" s="269"/>
      <c r="S224" s="45">
        <v>1</v>
      </c>
    </row>
    <row r="225" spans="1:19" s="41" customFormat="1" ht="45" customHeight="1">
      <c r="A225" s="44">
        <f t="shared" si="3"/>
        <v>220</v>
      </c>
      <c r="B225" s="82" t="s">
        <v>715</v>
      </c>
      <c r="C225" s="31" t="s">
        <v>229</v>
      </c>
      <c r="D225" s="31" t="s">
        <v>712</v>
      </c>
      <c r="E225" s="31" t="s">
        <v>373</v>
      </c>
      <c r="F225" s="32" t="s">
        <v>91</v>
      </c>
      <c r="G225" s="32" t="s">
        <v>83</v>
      </c>
      <c r="H225" s="33" t="s">
        <v>333</v>
      </c>
      <c r="I225" s="33" t="s">
        <v>335</v>
      </c>
      <c r="J225" s="34" t="s">
        <v>93</v>
      </c>
      <c r="K225" s="34" t="s">
        <v>94</v>
      </c>
      <c r="L225" s="35">
        <v>1</v>
      </c>
      <c r="M225" s="34" t="s">
        <v>52</v>
      </c>
      <c r="N225" s="32" t="s">
        <v>904</v>
      </c>
      <c r="O225" s="32" t="s">
        <v>1</v>
      </c>
      <c r="P225" s="32" t="s">
        <v>1</v>
      </c>
      <c r="Q225" s="269" t="s">
        <v>1</v>
      </c>
      <c r="R225" s="269"/>
      <c r="S225" s="45">
        <v>1</v>
      </c>
    </row>
    <row r="226" spans="1:19" s="41" customFormat="1" ht="45" customHeight="1">
      <c r="A226" s="44">
        <f t="shared" si="3"/>
        <v>221</v>
      </c>
      <c r="B226" s="82" t="s">
        <v>716</v>
      </c>
      <c r="C226" s="31" t="s">
        <v>1</v>
      </c>
      <c r="D226" s="31" t="s">
        <v>712</v>
      </c>
      <c r="E226" s="31" t="s">
        <v>374</v>
      </c>
      <c r="F226" s="32" t="s">
        <v>91</v>
      </c>
      <c r="G226" s="32" t="s">
        <v>83</v>
      </c>
      <c r="H226" s="33" t="s">
        <v>333</v>
      </c>
      <c r="I226" s="33" t="s">
        <v>335</v>
      </c>
      <c r="J226" s="34" t="s">
        <v>1174</v>
      </c>
      <c r="K226" s="34" t="s">
        <v>1174</v>
      </c>
      <c r="L226" s="43">
        <v>1</v>
      </c>
      <c r="M226" s="34" t="s">
        <v>52</v>
      </c>
      <c r="N226" s="32" t="s">
        <v>904</v>
      </c>
      <c r="O226" s="32" t="s">
        <v>1</v>
      </c>
      <c r="P226" s="32" t="s">
        <v>1</v>
      </c>
      <c r="Q226" s="269" t="s">
        <v>1</v>
      </c>
      <c r="R226" s="269"/>
      <c r="S226" s="45">
        <v>1</v>
      </c>
    </row>
    <row r="227" spans="1:19" s="41" customFormat="1" ht="45" customHeight="1">
      <c r="A227" s="44">
        <f t="shared" si="3"/>
        <v>222</v>
      </c>
      <c r="B227" s="82" t="s">
        <v>717</v>
      </c>
      <c r="C227" s="31" t="s">
        <v>1</v>
      </c>
      <c r="D227" s="31" t="s">
        <v>712</v>
      </c>
      <c r="E227" s="31" t="s">
        <v>375</v>
      </c>
      <c r="F227" s="32" t="s">
        <v>91</v>
      </c>
      <c r="G227" s="32" t="s">
        <v>83</v>
      </c>
      <c r="H227" s="33" t="s">
        <v>333</v>
      </c>
      <c r="I227" s="33" t="s">
        <v>335</v>
      </c>
      <c r="J227" s="34" t="s">
        <v>1174</v>
      </c>
      <c r="K227" s="34" t="s">
        <v>1174</v>
      </c>
      <c r="L227" s="43">
        <v>1</v>
      </c>
      <c r="M227" s="34" t="s">
        <v>52</v>
      </c>
      <c r="N227" s="32" t="s">
        <v>904</v>
      </c>
      <c r="O227" s="32" t="s">
        <v>1</v>
      </c>
      <c r="P227" s="32" t="s">
        <v>1</v>
      </c>
      <c r="Q227" s="269" t="s">
        <v>1</v>
      </c>
      <c r="R227" s="269"/>
      <c r="S227" s="45">
        <v>1</v>
      </c>
    </row>
    <row r="228" spans="1:19" s="41" customFormat="1" ht="45" customHeight="1">
      <c r="A228" s="44">
        <f t="shared" si="3"/>
        <v>223</v>
      </c>
      <c r="B228" s="82" t="s">
        <v>718</v>
      </c>
      <c r="C228" s="31" t="s">
        <v>230</v>
      </c>
      <c r="D228" s="31" t="s">
        <v>719</v>
      </c>
      <c r="E228" s="31" t="s">
        <v>114</v>
      </c>
      <c r="F228" s="32" t="s">
        <v>76</v>
      </c>
      <c r="G228" s="32" t="s">
        <v>83</v>
      </c>
      <c r="H228" s="60">
        <v>0</v>
      </c>
      <c r="I228" s="60">
        <v>1</v>
      </c>
      <c r="J228" s="268" t="s">
        <v>1102</v>
      </c>
      <c r="K228" s="268" t="s">
        <v>1103</v>
      </c>
      <c r="L228" s="270">
        <v>1</v>
      </c>
      <c r="M228" s="268" t="s">
        <v>52</v>
      </c>
      <c r="N228" s="271" t="s">
        <v>904</v>
      </c>
      <c r="O228" s="271" t="s">
        <v>1</v>
      </c>
      <c r="P228" s="271" t="s">
        <v>1</v>
      </c>
      <c r="Q228" s="269" t="s">
        <v>1240</v>
      </c>
      <c r="R228" s="269"/>
      <c r="S228" s="273">
        <v>1</v>
      </c>
    </row>
    <row r="229" spans="1:19" s="41" customFormat="1" ht="45" customHeight="1">
      <c r="A229" s="44">
        <f t="shared" si="3"/>
        <v>224</v>
      </c>
      <c r="B229" s="82" t="s">
        <v>720</v>
      </c>
      <c r="C229" s="31" t="s">
        <v>1</v>
      </c>
      <c r="D229" s="31" t="s">
        <v>719</v>
      </c>
      <c r="E229" s="31" t="s">
        <v>111</v>
      </c>
      <c r="F229" s="32" t="s">
        <v>80</v>
      </c>
      <c r="G229" s="32" t="s">
        <v>48</v>
      </c>
      <c r="H229" s="33" t="s">
        <v>1</v>
      </c>
      <c r="I229" s="33" t="s">
        <v>1</v>
      </c>
      <c r="J229" s="268"/>
      <c r="K229" s="268"/>
      <c r="L229" s="270"/>
      <c r="M229" s="268"/>
      <c r="N229" s="271"/>
      <c r="O229" s="271"/>
      <c r="P229" s="271"/>
      <c r="Q229" s="269"/>
      <c r="R229" s="269"/>
      <c r="S229" s="273"/>
    </row>
    <row r="230" spans="1:19" s="41" customFormat="1" ht="45" customHeight="1">
      <c r="A230" s="44">
        <f t="shared" si="3"/>
        <v>225</v>
      </c>
      <c r="B230" s="82" t="s">
        <v>721</v>
      </c>
      <c r="C230" s="31" t="s">
        <v>397</v>
      </c>
      <c r="D230" s="31" t="s">
        <v>719</v>
      </c>
      <c r="E230" s="31" t="s">
        <v>74</v>
      </c>
      <c r="F230" s="32" t="s">
        <v>62</v>
      </c>
      <c r="G230" s="32" t="s">
        <v>48</v>
      </c>
      <c r="H230" s="33" t="s">
        <v>1</v>
      </c>
      <c r="I230" s="33" t="s">
        <v>1</v>
      </c>
      <c r="J230" s="268"/>
      <c r="K230" s="268"/>
      <c r="L230" s="270"/>
      <c r="M230" s="268"/>
      <c r="N230" s="271"/>
      <c r="O230" s="271"/>
      <c r="P230" s="271"/>
      <c r="Q230" s="269"/>
      <c r="R230" s="269"/>
      <c r="S230" s="273"/>
    </row>
    <row r="231" spans="1:19" s="41" customFormat="1" ht="45" customHeight="1">
      <c r="A231" s="44">
        <f t="shared" si="3"/>
        <v>226</v>
      </c>
      <c r="B231" s="82" t="s">
        <v>722</v>
      </c>
      <c r="C231" s="31" t="s">
        <v>1</v>
      </c>
      <c r="D231" s="31" t="s">
        <v>719</v>
      </c>
      <c r="E231" s="31" t="s">
        <v>74</v>
      </c>
      <c r="F231" s="32" t="s">
        <v>49</v>
      </c>
      <c r="G231" s="32" t="s">
        <v>48</v>
      </c>
      <c r="H231" s="33" t="s">
        <v>1</v>
      </c>
      <c r="I231" s="33" t="s">
        <v>1</v>
      </c>
      <c r="J231" s="34" t="s">
        <v>418</v>
      </c>
      <c r="K231" s="34" t="s">
        <v>419</v>
      </c>
      <c r="L231" s="43">
        <v>1</v>
      </c>
      <c r="M231" s="34" t="s">
        <v>65</v>
      </c>
      <c r="N231" s="32" t="s">
        <v>904</v>
      </c>
      <c r="O231" s="32" t="s">
        <v>1</v>
      </c>
      <c r="P231" s="32" t="s">
        <v>888</v>
      </c>
      <c r="Q231" s="271" t="s">
        <v>1240</v>
      </c>
      <c r="R231" s="271"/>
      <c r="S231" s="45">
        <v>1</v>
      </c>
    </row>
    <row r="232" spans="1:19" s="41" customFormat="1" ht="45" customHeight="1">
      <c r="A232" s="44">
        <f t="shared" si="3"/>
        <v>227</v>
      </c>
      <c r="B232" s="82" t="s">
        <v>723</v>
      </c>
      <c r="C232" s="31" t="s">
        <v>398</v>
      </c>
      <c r="D232" s="31" t="s">
        <v>719</v>
      </c>
      <c r="E232" s="31" t="s">
        <v>75</v>
      </c>
      <c r="F232" s="32" t="s">
        <v>62</v>
      </c>
      <c r="G232" s="32" t="s">
        <v>48</v>
      </c>
      <c r="H232" s="33" t="s">
        <v>1</v>
      </c>
      <c r="I232" s="33" t="s">
        <v>1</v>
      </c>
      <c r="J232" s="34" t="s">
        <v>1102</v>
      </c>
      <c r="K232" s="34" t="s">
        <v>1103</v>
      </c>
      <c r="L232" s="35">
        <v>1</v>
      </c>
      <c r="M232" s="34" t="s">
        <v>52</v>
      </c>
      <c r="N232" s="32" t="s">
        <v>904</v>
      </c>
      <c r="O232" s="32" t="s">
        <v>1</v>
      </c>
      <c r="P232" s="32" t="s">
        <v>1</v>
      </c>
      <c r="Q232" s="271" t="s">
        <v>1240</v>
      </c>
      <c r="R232" s="271"/>
      <c r="S232" s="45">
        <v>1</v>
      </c>
    </row>
    <row r="233" spans="1:19" s="41" customFormat="1" ht="45" customHeight="1">
      <c r="A233" s="44">
        <f t="shared" si="3"/>
        <v>228</v>
      </c>
      <c r="B233" s="82" t="s">
        <v>724</v>
      </c>
      <c r="C233" s="31" t="s">
        <v>1</v>
      </c>
      <c r="D233" s="31" t="s">
        <v>719</v>
      </c>
      <c r="E233" s="31" t="s">
        <v>75</v>
      </c>
      <c r="F233" s="32" t="s">
        <v>49</v>
      </c>
      <c r="G233" s="32" t="s">
        <v>48</v>
      </c>
      <c r="H233" s="33" t="s">
        <v>1</v>
      </c>
      <c r="I233" s="33" t="s">
        <v>1</v>
      </c>
      <c r="J233" s="34" t="s">
        <v>418</v>
      </c>
      <c r="K233" s="34" t="s">
        <v>419</v>
      </c>
      <c r="L233" s="35">
        <v>1</v>
      </c>
      <c r="M233" s="34" t="s">
        <v>65</v>
      </c>
      <c r="N233" s="32" t="s">
        <v>904</v>
      </c>
      <c r="O233" s="32" t="s">
        <v>1</v>
      </c>
      <c r="P233" s="32" t="s">
        <v>888</v>
      </c>
      <c r="Q233" s="269" t="s">
        <v>361</v>
      </c>
      <c r="R233" s="269"/>
      <c r="S233" s="45">
        <v>1</v>
      </c>
    </row>
    <row r="234" spans="1:19" s="41" customFormat="1" ht="45" customHeight="1">
      <c r="A234" s="44">
        <f t="shared" si="3"/>
        <v>229</v>
      </c>
      <c r="B234" s="82" t="s">
        <v>725</v>
      </c>
      <c r="C234" s="31" t="s">
        <v>230</v>
      </c>
      <c r="D234" s="31" t="s">
        <v>719</v>
      </c>
      <c r="E234" s="31" t="s">
        <v>63</v>
      </c>
      <c r="F234" s="32" t="s">
        <v>76</v>
      </c>
      <c r="G234" s="32" t="s">
        <v>83</v>
      </c>
      <c r="H234" s="60">
        <v>0</v>
      </c>
      <c r="I234" s="60">
        <v>1</v>
      </c>
      <c r="J234" s="34" t="s">
        <v>1102</v>
      </c>
      <c r="K234" s="34" t="s">
        <v>1103</v>
      </c>
      <c r="L234" s="43">
        <v>1</v>
      </c>
      <c r="M234" s="34" t="s">
        <v>52</v>
      </c>
      <c r="N234" s="32" t="s">
        <v>904</v>
      </c>
      <c r="O234" s="32" t="s">
        <v>1</v>
      </c>
      <c r="P234" s="32" t="s">
        <v>1</v>
      </c>
      <c r="Q234" s="271" t="s">
        <v>1240</v>
      </c>
      <c r="R234" s="271"/>
      <c r="S234" s="45">
        <v>1</v>
      </c>
    </row>
    <row r="235" spans="1:19" s="41" customFormat="1" ht="90" customHeight="1">
      <c r="A235" s="44">
        <f t="shared" si="3"/>
        <v>230</v>
      </c>
      <c r="B235" s="82" t="s">
        <v>1018</v>
      </c>
      <c r="C235" s="31" t="s">
        <v>1</v>
      </c>
      <c r="D235" s="31" t="s">
        <v>735</v>
      </c>
      <c r="E235" s="31" t="s">
        <v>1014</v>
      </c>
      <c r="F235" s="32" t="s">
        <v>1015</v>
      </c>
      <c r="G235" s="32" t="s">
        <v>83</v>
      </c>
      <c r="H235" s="33" t="s">
        <v>1</v>
      </c>
      <c r="I235" s="33" t="s">
        <v>1</v>
      </c>
      <c r="J235" s="34" t="s">
        <v>1016</v>
      </c>
      <c r="K235" s="34" t="s">
        <v>1017</v>
      </c>
      <c r="L235" s="35">
        <v>8</v>
      </c>
      <c r="M235" s="34" t="s">
        <v>65</v>
      </c>
      <c r="N235" s="32" t="s">
        <v>1031</v>
      </c>
      <c r="O235" s="32" t="s">
        <v>1</v>
      </c>
      <c r="P235" s="32" t="s">
        <v>1</v>
      </c>
      <c r="Q235" s="269" t="s">
        <v>1035</v>
      </c>
      <c r="R235" s="269"/>
      <c r="S235" s="45">
        <v>1</v>
      </c>
    </row>
    <row r="236" spans="1:19" s="41" customFormat="1" ht="45" customHeight="1">
      <c r="A236" s="44">
        <f t="shared" si="3"/>
        <v>231</v>
      </c>
      <c r="B236" s="82" t="s">
        <v>726</v>
      </c>
      <c r="C236" s="31" t="s">
        <v>399</v>
      </c>
      <c r="D236" s="31" t="s">
        <v>727</v>
      </c>
      <c r="E236" s="31" t="s">
        <v>279</v>
      </c>
      <c r="F236" s="32" t="s">
        <v>88</v>
      </c>
      <c r="G236" s="32" t="s">
        <v>89</v>
      </c>
      <c r="H236" s="33" t="s">
        <v>113</v>
      </c>
      <c r="I236" s="33" t="s">
        <v>330</v>
      </c>
      <c r="J236" s="34" t="s">
        <v>1080</v>
      </c>
      <c r="K236" s="34" t="s">
        <v>1109</v>
      </c>
      <c r="L236" s="42">
        <v>2</v>
      </c>
      <c r="M236" s="34" t="s">
        <v>52</v>
      </c>
      <c r="N236" s="32" t="s">
        <v>907</v>
      </c>
      <c r="O236" s="32" t="s">
        <v>1</v>
      </c>
      <c r="P236" s="32" t="s">
        <v>1</v>
      </c>
      <c r="Q236" s="269" t="s">
        <v>1</v>
      </c>
      <c r="R236" s="269"/>
      <c r="S236" s="45">
        <v>1</v>
      </c>
    </row>
    <row r="237" spans="1:19" s="41" customFormat="1" ht="45" customHeight="1">
      <c r="A237" s="44">
        <f t="shared" si="3"/>
        <v>232</v>
      </c>
      <c r="B237" s="82" t="s">
        <v>728</v>
      </c>
      <c r="C237" s="31" t="s">
        <v>400</v>
      </c>
      <c r="D237" s="31" t="s">
        <v>727</v>
      </c>
      <c r="E237" s="31" t="s">
        <v>280</v>
      </c>
      <c r="F237" s="32" t="s">
        <v>88</v>
      </c>
      <c r="G237" s="32" t="s">
        <v>89</v>
      </c>
      <c r="H237" s="33" t="s">
        <v>113</v>
      </c>
      <c r="I237" s="33" t="s">
        <v>330</v>
      </c>
      <c r="J237" s="34" t="s">
        <v>1080</v>
      </c>
      <c r="K237" s="34" t="s">
        <v>1110</v>
      </c>
      <c r="L237" s="42">
        <v>2</v>
      </c>
      <c r="M237" s="34" t="s">
        <v>52</v>
      </c>
      <c r="N237" s="32" t="s">
        <v>907</v>
      </c>
      <c r="O237" s="32" t="s">
        <v>1</v>
      </c>
      <c r="P237" s="32" t="s">
        <v>1</v>
      </c>
      <c r="Q237" s="269" t="s">
        <v>1</v>
      </c>
      <c r="R237" s="269"/>
      <c r="S237" s="45">
        <v>1</v>
      </c>
    </row>
    <row r="238" spans="1:19" s="41" customFormat="1" ht="45" customHeight="1">
      <c r="A238" s="44">
        <f t="shared" si="3"/>
        <v>233</v>
      </c>
      <c r="B238" s="82" t="s">
        <v>729</v>
      </c>
      <c r="C238" s="31" t="s">
        <v>401</v>
      </c>
      <c r="D238" s="31" t="s">
        <v>727</v>
      </c>
      <c r="E238" s="31" t="s">
        <v>281</v>
      </c>
      <c r="F238" s="32" t="s">
        <v>88</v>
      </c>
      <c r="G238" s="32" t="s">
        <v>89</v>
      </c>
      <c r="H238" s="33" t="s">
        <v>113</v>
      </c>
      <c r="I238" s="33" t="s">
        <v>330</v>
      </c>
      <c r="J238" s="34" t="s">
        <v>1080</v>
      </c>
      <c r="K238" s="34" t="s">
        <v>1110</v>
      </c>
      <c r="L238" s="35">
        <v>2</v>
      </c>
      <c r="M238" s="34" t="s">
        <v>52</v>
      </c>
      <c r="N238" s="32" t="s">
        <v>907</v>
      </c>
      <c r="O238" s="32" t="s">
        <v>1</v>
      </c>
      <c r="P238" s="32" t="s">
        <v>1</v>
      </c>
      <c r="Q238" s="269" t="s">
        <v>1</v>
      </c>
      <c r="R238" s="269"/>
      <c r="S238" s="45">
        <v>1</v>
      </c>
    </row>
    <row r="239" spans="1:19" s="41" customFormat="1" ht="45" customHeight="1">
      <c r="A239" s="44">
        <f t="shared" si="3"/>
        <v>234</v>
      </c>
      <c r="B239" s="82" t="s">
        <v>730</v>
      </c>
      <c r="C239" s="31" t="s">
        <v>402</v>
      </c>
      <c r="D239" s="31" t="s">
        <v>727</v>
      </c>
      <c r="E239" s="31" t="s">
        <v>121</v>
      </c>
      <c r="F239" s="32" t="s">
        <v>88</v>
      </c>
      <c r="G239" s="32" t="s">
        <v>89</v>
      </c>
      <c r="H239" s="33" t="s">
        <v>113</v>
      </c>
      <c r="I239" s="33" t="s">
        <v>318</v>
      </c>
      <c r="J239" s="34" t="s">
        <v>1080</v>
      </c>
      <c r="K239" s="34" t="s">
        <v>1110</v>
      </c>
      <c r="L239" s="43">
        <v>1</v>
      </c>
      <c r="M239" s="34" t="s">
        <v>52</v>
      </c>
      <c r="N239" s="32" t="s">
        <v>907</v>
      </c>
      <c r="O239" s="32" t="s">
        <v>1</v>
      </c>
      <c r="P239" s="32" t="s">
        <v>1</v>
      </c>
      <c r="Q239" s="269" t="s">
        <v>1</v>
      </c>
      <c r="R239" s="269"/>
      <c r="S239" s="45">
        <v>1</v>
      </c>
    </row>
    <row r="240" spans="1:19" s="41" customFormat="1" ht="45" customHeight="1">
      <c r="A240" s="44">
        <f t="shared" si="3"/>
        <v>235</v>
      </c>
      <c r="B240" s="82" t="s">
        <v>731</v>
      </c>
      <c r="C240" s="31" t="s">
        <v>403</v>
      </c>
      <c r="D240" s="31" t="s">
        <v>727</v>
      </c>
      <c r="E240" s="31" t="s">
        <v>122</v>
      </c>
      <c r="F240" s="32" t="s">
        <v>88</v>
      </c>
      <c r="G240" s="32" t="s">
        <v>89</v>
      </c>
      <c r="H240" s="33" t="s">
        <v>113</v>
      </c>
      <c r="I240" s="33" t="s">
        <v>318</v>
      </c>
      <c r="J240" s="34" t="s">
        <v>1080</v>
      </c>
      <c r="K240" s="34" t="s">
        <v>1110</v>
      </c>
      <c r="L240" s="43">
        <v>1</v>
      </c>
      <c r="M240" s="34" t="s">
        <v>52</v>
      </c>
      <c r="N240" s="32" t="s">
        <v>907</v>
      </c>
      <c r="O240" s="32" t="s">
        <v>1</v>
      </c>
      <c r="P240" s="32" t="s">
        <v>1</v>
      </c>
      <c r="Q240" s="269" t="s">
        <v>1</v>
      </c>
      <c r="R240" s="269"/>
      <c r="S240" s="45">
        <v>1</v>
      </c>
    </row>
    <row r="241" spans="1:19" s="41" customFormat="1" ht="45" customHeight="1">
      <c r="A241" s="44">
        <f t="shared" si="3"/>
        <v>236</v>
      </c>
      <c r="B241" s="82" t="s">
        <v>732</v>
      </c>
      <c r="C241" s="31" t="s">
        <v>244</v>
      </c>
      <c r="D241" s="31" t="s">
        <v>727</v>
      </c>
      <c r="E241" s="31" t="s">
        <v>147</v>
      </c>
      <c r="F241" s="32" t="s">
        <v>91</v>
      </c>
      <c r="G241" s="32" t="s">
        <v>83</v>
      </c>
      <c r="H241" s="33" t="s">
        <v>333</v>
      </c>
      <c r="I241" s="33" t="s">
        <v>449</v>
      </c>
      <c r="J241" s="34" t="s">
        <v>93</v>
      </c>
      <c r="K241" s="34" t="s">
        <v>94</v>
      </c>
      <c r="L241" s="42">
        <v>1</v>
      </c>
      <c r="M241" s="34" t="s">
        <v>52</v>
      </c>
      <c r="N241" s="32" t="s">
        <v>907</v>
      </c>
      <c r="O241" s="32" t="s">
        <v>1</v>
      </c>
      <c r="P241" s="32" t="s">
        <v>1</v>
      </c>
      <c r="Q241" s="269" t="s">
        <v>1</v>
      </c>
      <c r="R241" s="269"/>
      <c r="S241" s="45">
        <v>1</v>
      </c>
    </row>
    <row r="242" spans="1:19" s="41" customFormat="1" ht="45" customHeight="1">
      <c r="A242" s="44">
        <f t="shared" si="3"/>
        <v>237</v>
      </c>
      <c r="B242" s="82" t="s">
        <v>733</v>
      </c>
      <c r="C242" s="31" t="s">
        <v>245</v>
      </c>
      <c r="D242" s="31" t="s">
        <v>727</v>
      </c>
      <c r="E242" s="31" t="s">
        <v>146</v>
      </c>
      <c r="F242" s="32" t="s">
        <v>91</v>
      </c>
      <c r="G242" s="32" t="s">
        <v>83</v>
      </c>
      <c r="H242" s="33" t="s">
        <v>333</v>
      </c>
      <c r="I242" s="33" t="s">
        <v>449</v>
      </c>
      <c r="J242" s="34" t="s">
        <v>93</v>
      </c>
      <c r="K242" s="34" t="s">
        <v>94</v>
      </c>
      <c r="L242" s="42">
        <v>1</v>
      </c>
      <c r="M242" s="34" t="s">
        <v>52</v>
      </c>
      <c r="N242" s="32" t="s">
        <v>907</v>
      </c>
      <c r="O242" s="32" t="s">
        <v>1</v>
      </c>
      <c r="P242" s="32" t="s">
        <v>1</v>
      </c>
      <c r="Q242" s="269" t="s">
        <v>1</v>
      </c>
      <c r="R242" s="269"/>
      <c r="S242" s="45">
        <v>1</v>
      </c>
    </row>
    <row r="243" spans="1:19" s="97" customFormat="1" ht="45" customHeight="1">
      <c r="A243" s="44">
        <f t="shared" si="3"/>
        <v>238</v>
      </c>
      <c r="B243" s="82" t="s">
        <v>1009</v>
      </c>
      <c r="C243" s="82" t="s">
        <v>1</v>
      </c>
      <c r="D243" s="82" t="s">
        <v>739</v>
      </c>
      <c r="E243" s="82" t="s">
        <v>123</v>
      </c>
      <c r="F243" s="83" t="s">
        <v>27</v>
      </c>
      <c r="G243" s="83" t="s">
        <v>48</v>
      </c>
      <c r="H243" s="84" t="s">
        <v>1</v>
      </c>
      <c r="I243" s="84" t="s">
        <v>1</v>
      </c>
      <c r="J243" s="106" t="s">
        <v>418</v>
      </c>
      <c r="K243" s="106" t="s">
        <v>1234</v>
      </c>
      <c r="L243" s="107">
        <v>1</v>
      </c>
      <c r="M243" s="85" t="s">
        <v>65</v>
      </c>
      <c r="N243" s="83" t="s">
        <v>903</v>
      </c>
      <c r="O243" s="83" t="s">
        <v>1</v>
      </c>
      <c r="P243" s="108" t="s">
        <v>1245</v>
      </c>
      <c r="Q243" s="285" t="s">
        <v>1</v>
      </c>
      <c r="R243" s="285"/>
      <c r="S243" s="109">
        <v>4</v>
      </c>
    </row>
    <row r="244" spans="1:19" s="41" customFormat="1" ht="45" customHeight="1">
      <c r="A244" s="44">
        <f t="shared" si="3"/>
        <v>239</v>
      </c>
      <c r="B244" s="82" t="s">
        <v>734</v>
      </c>
      <c r="C244" s="31" t="s">
        <v>1</v>
      </c>
      <c r="D244" s="31" t="s">
        <v>735</v>
      </c>
      <c r="E244" s="31" t="s">
        <v>369</v>
      </c>
      <c r="F244" s="32" t="s">
        <v>378</v>
      </c>
      <c r="G244" s="32" t="s">
        <v>83</v>
      </c>
      <c r="H244" s="33" t="s">
        <v>371</v>
      </c>
      <c r="I244" s="33" t="s">
        <v>370</v>
      </c>
      <c r="J244" s="34" t="s">
        <v>410</v>
      </c>
      <c r="K244" s="34" t="s">
        <v>1008</v>
      </c>
      <c r="L244" s="42">
        <v>1</v>
      </c>
      <c r="M244" s="34" t="s">
        <v>65</v>
      </c>
      <c r="N244" s="32" t="s">
        <v>907</v>
      </c>
      <c r="O244" s="32" t="s">
        <v>1</v>
      </c>
      <c r="P244" s="32" t="s">
        <v>899</v>
      </c>
      <c r="Q244" s="269" t="s">
        <v>1</v>
      </c>
      <c r="R244" s="269"/>
      <c r="S244" s="45">
        <v>1</v>
      </c>
    </row>
    <row r="245" spans="1:19" s="41" customFormat="1" ht="45" customHeight="1">
      <c r="A245" s="44">
        <f t="shared" si="3"/>
        <v>240</v>
      </c>
      <c r="B245" s="82" t="s">
        <v>736</v>
      </c>
      <c r="C245" s="31" t="s">
        <v>331</v>
      </c>
      <c r="D245" s="31" t="s">
        <v>735</v>
      </c>
      <c r="E245" s="31" t="s">
        <v>442</v>
      </c>
      <c r="F245" s="32" t="s">
        <v>88</v>
      </c>
      <c r="G245" s="32" t="s">
        <v>89</v>
      </c>
      <c r="H245" s="33" t="s">
        <v>113</v>
      </c>
      <c r="I245" s="33" t="s">
        <v>318</v>
      </c>
      <c r="J245" s="34" t="s">
        <v>1089</v>
      </c>
      <c r="K245" s="34">
        <v>902050</v>
      </c>
      <c r="L245" s="43">
        <v>1</v>
      </c>
      <c r="M245" s="34" t="s">
        <v>52</v>
      </c>
      <c r="N245" s="32" t="s">
        <v>907</v>
      </c>
      <c r="O245" s="32" t="s">
        <v>1</v>
      </c>
      <c r="P245" s="32" t="s">
        <v>1</v>
      </c>
      <c r="Q245" s="269" t="s">
        <v>1</v>
      </c>
      <c r="R245" s="269"/>
      <c r="S245" s="45">
        <v>1</v>
      </c>
    </row>
    <row r="246" spans="1:19" s="41" customFormat="1" ht="45" customHeight="1">
      <c r="A246" s="44">
        <f t="shared" si="3"/>
        <v>241</v>
      </c>
      <c r="B246" s="82" t="s">
        <v>737</v>
      </c>
      <c r="C246" s="31" t="s">
        <v>332</v>
      </c>
      <c r="D246" s="31" t="s">
        <v>735</v>
      </c>
      <c r="E246" s="31" t="s">
        <v>443</v>
      </c>
      <c r="F246" s="32" t="s">
        <v>88</v>
      </c>
      <c r="G246" s="32" t="s">
        <v>89</v>
      </c>
      <c r="H246" s="33" t="s">
        <v>113</v>
      </c>
      <c r="I246" s="33" t="s">
        <v>318</v>
      </c>
      <c r="J246" s="34" t="s">
        <v>1089</v>
      </c>
      <c r="K246" s="34">
        <v>902050</v>
      </c>
      <c r="L246" s="42">
        <v>1</v>
      </c>
      <c r="M246" s="34" t="s">
        <v>52</v>
      </c>
      <c r="N246" s="32" t="s">
        <v>907</v>
      </c>
      <c r="O246" s="32" t="s">
        <v>1</v>
      </c>
      <c r="P246" s="32" t="s">
        <v>1</v>
      </c>
      <c r="Q246" s="269" t="s">
        <v>1</v>
      </c>
      <c r="R246" s="269"/>
      <c r="S246" s="45">
        <v>1</v>
      </c>
    </row>
    <row r="247" spans="1:19" s="41" customFormat="1" ht="45" customHeight="1">
      <c r="A247" s="44">
        <f t="shared" si="3"/>
        <v>242</v>
      </c>
      <c r="B247" s="82" t="s">
        <v>1318</v>
      </c>
      <c r="C247" s="31" t="s">
        <v>1</v>
      </c>
      <c r="D247" s="31" t="s">
        <v>735</v>
      </c>
      <c r="E247" s="31" t="s">
        <v>367</v>
      </c>
      <c r="F247" s="32" t="s">
        <v>91</v>
      </c>
      <c r="G247" s="32" t="s">
        <v>83</v>
      </c>
      <c r="H247" s="33" t="s">
        <v>333</v>
      </c>
      <c r="I247" s="33" t="s">
        <v>334</v>
      </c>
      <c r="J247" s="34" t="s">
        <v>93</v>
      </c>
      <c r="K247" s="34" t="s">
        <v>94</v>
      </c>
      <c r="L247" s="42">
        <v>1</v>
      </c>
      <c r="M247" s="34" t="s">
        <v>65</v>
      </c>
      <c r="N247" s="32" t="s">
        <v>907</v>
      </c>
      <c r="O247" s="32" t="s">
        <v>1</v>
      </c>
      <c r="P247" s="32" t="s">
        <v>898</v>
      </c>
      <c r="Q247" s="269" t="s">
        <v>1</v>
      </c>
      <c r="R247" s="269"/>
      <c r="S247" s="45">
        <v>1</v>
      </c>
    </row>
    <row r="248" spans="1:19" s="41" customFormat="1" ht="45" customHeight="1">
      <c r="A248" s="44">
        <f t="shared" si="3"/>
        <v>243</v>
      </c>
      <c r="B248" s="82" t="s">
        <v>1319</v>
      </c>
      <c r="C248" s="31" t="s">
        <v>1</v>
      </c>
      <c r="D248" s="31" t="s">
        <v>735</v>
      </c>
      <c r="E248" s="31" t="s">
        <v>368</v>
      </c>
      <c r="F248" s="32" t="s">
        <v>91</v>
      </c>
      <c r="G248" s="32" t="s">
        <v>83</v>
      </c>
      <c r="H248" s="33" t="s">
        <v>333</v>
      </c>
      <c r="I248" s="33" t="s">
        <v>334</v>
      </c>
      <c r="J248" s="34" t="s">
        <v>93</v>
      </c>
      <c r="K248" s="34" t="s">
        <v>94</v>
      </c>
      <c r="L248" s="42">
        <v>1</v>
      </c>
      <c r="M248" s="34" t="s">
        <v>65</v>
      </c>
      <c r="N248" s="32" t="s">
        <v>907</v>
      </c>
      <c r="O248" s="32" t="s">
        <v>1</v>
      </c>
      <c r="P248" s="32" t="s">
        <v>898</v>
      </c>
      <c r="Q248" s="269" t="s">
        <v>1</v>
      </c>
      <c r="R248" s="269"/>
      <c r="S248" s="45">
        <v>1</v>
      </c>
    </row>
    <row r="249" spans="1:19" s="41" customFormat="1" ht="45" customHeight="1">
      <c r="A249" s="44">
        <f t="shared" si="3"/>
        <v>244</v>
      </c>
      <c r="B249" s="82" t="s">
        <v>738</v>
      </c>
      <c r="C249" s="31" t="s">
        <v>1</v>
      </c>
      <c r="D249" s="31" t="s">
        <v>739</v>
      </c>
      <c r="E249" s="31" t="s">
        <v>84</v>
      </c>
      <c r="F249" s="32" t="s">
        <v>50</v>
      </c>
      <c r="G249" s="32" t="s">
        <v>48</v>
      </c>
      <c r="H249" s="33" t="s">
        <v>1</v>
      </c>
      <c r="I249" s="33" t="s">
        <v>1</v>
      </c>
      <c r="J249" s="32" t="s">
        <v>428</v>
      </c>
      <c r="K249" s="32" t="s">
        <v>1281</v>
      </c>
      <c r="L249" s="42">
        <v>1</v>
      </c>
      <c r="M249" s="34" t="s">
        <v>65</v>
      </c>
      <c r="N249" s="32" t="s">
        <v>907</v>
      </c>
      <c r="O249" s="32" t="s">
        <v>1</v>
      </c>
      <c r="P249" s="32" t="s">
        <v>1</v>
      </c>
      <c r="Q249" s="269" t="s">
        <v>1231</v>
      </c>
      <c r="R249" s="269"/>
      <c r="S249" s="45">
        <v>1</v>
      </c>
    </row>
    <row r="250" spans="1:19" s="105" customFormat="1" ht="45" customHeight="1">
      <c r="A250" s="44">
        <f t="shared" si="3"/>
        <v>245</v>
      </c>
      <c r="B250" s="99" t="s">
        <v>740</v>
      </c>
      <c r="C250" s="99" t="s">
        <v>1</v>
      </c>
      <c r="D250" s="99" t="s">
        <v>739</v>
      </c>
      <c r="E250" s="99" t="s">
        <v>74</v>
      </c>
      <c r="F250" s="100" t="s">
        <v>62</v>
      </c>
      <c r="G250" s="100" t="s">
        <v>48</v>
      </c>
      <c r="H250" s="101" t="s">
        <v>1</v>
      </c>
      <c r="I250" s="101" t="s">
        <v>1</v>
      </c>
      <c r="J250" s="100" t="s">
        <v>428</v>
      </c>
      <c r="K250" s="100" t="s">
        <v>428</v>
      </c>
      <c r="L250" s="102">
        <v>1</v>
      </c>
      <c r="M250" s="103" t="s">
        <v>65</v>
      </c>
      <c r="N250" s="100" t="s">
        <v>907</v>
      </c>
      <c r="O250" s="100" t="s">
        <v>1</v>
      </c>
      <c r="P250" s="100" t="s">
        <v>1</v>
      </c>
      <c r="Q250" s="286" t="s">
        <v>1231</v>
      </c>
      <c r="R250" s="287"/>
      <c r="S250" s="104">
        <v>4</v>
      </c>
    </row>
    <row r="251" spans="1:19" s="105" customFormat="1" ht="45" customHeight="1">
      <c r="A251" s="44">
        <f t="shared" si="3"/>
        <v>246</v>
      </c>
      <c r="B251" s="99" t="s">
        <v>741</v>
      </c>
      <c r="C251" s="99" t="s">
        <v>1</v>
      </c>
      <c r="D251" s="99" t="s">
        <v>739</v>
      </c>
      <c r="E251" s="99" t="s">
        <v>75</v>
      </c>
      <c r="F251" s="100" t="s">
        <v>62</v>
      </c>
      <c r="G251" s="100" t="s">
        <v>48</v>
      </c>
      <c r="H251" s="101" t="s">
        <v>1</v>
      </c>
      <c r="I251" s="101" t="s">
        <v>1</v>
      </c>
      <c r="J251" s="100" t="s">
        <v>428</v>
      </c>
      <c r="K251" s="100" t="s">
        <v>428</v>
      </c>
      <c r="L251" s="102">
        <v>1</v>
      </c>
      <c r="M251" s="103" t="s">
        <v>65</v>
      </c>
      <c r="N251" s="100" t="s">
        <v>907</v>
      </c>
      <c r="O251" s="100" t="s">
        <v>1</v>
      </c>
      <c r="P251" s="100" t="s">
        <v>1</v>
      </c>
      <c r="Q251" s="286" t="s">
        <v>1231</v>
      </c>
      <c r="R251" s="287"/>
      <c r="S251" s="104">
        <v>4</v>
      </c>
    </row>
    <row r="252" spans="1:19" s="41" customFormat="1" ht="45" customHeight="1">
      <c r="A252" s="44">
        <f t="shared" si="3"/>
        <v>247</v>
      </c>
      <c r="B252" s="82" t="s">
        <v>742</v>
      </c>
      <c r="C252" s="31" t="s">
        <v>789</v>
      </c>
      <c r="D252" s="31" t="s">
        <v>743</v>
      </c>
      <c r="E252" s="31" t="s">
        <v>114</v>
      </c>
      <c r="F252" s="32" t="s">
        <v>76</v>
      </c>
      <c r="G252" s="32" t="s">
        <v>83</v>
      </c>
      <c r="H252" s="60">
        <v>0</v>
      </c>
      <c r="I252" s="60">
        <v>1</v>
      </c>
      <c r="J252" s="268" t="s">
        <v>1111</v>
      </c>
      <c r="K252" s="268" t="s">
        <v>1112</v>
      </c>
      <c r="L252" s="270">
        <v>1</v>
      </c>
      <c r="M252" s="268" t="s">
        <v>52</v>
      </c>
      <c r="N252" s="271" t="s">
        <v>907</v>
      </c>
      <c r="O252" s="271" t="s">
        <v>1</v>
      </c>
      <c r="P252" s="271" t="s">
        <v>1</v>
      </c>
      <c r="Q252" s="269" t="s">
        <v>1241</v>
      </c>
      <c r="R252" s="269"/>
      <c r="S252" s="273">
        <v>1</v>
      </c>
    </row>
    <row r="253" spans="1:19" s="41" customFormat="1" ht="45" customHeight="1">
      <c r="A253" s="44">
        <f t="shared" si="3"/>
        <v>248</v>
      </c>
      <c r="B253" s="82" t="s">
        <v>744</v>
      </c>
      <c r="C253" s="31" t="s">
        <v>790</v>
      </c>
      <c r="D253" s="31" t="s">
        <v>743</v>
      </c>
      <c r="E253" s="31" t="s">
        <v>111</v>
      </c>
      <c r="F253" s="32" t="s">
        <v>80</v>
      </c>
      <c r="G253" s="32" t="s">
        <v>48</v>
      </c>
      <c r="H253" s="33" t="s">
        <v>1</v>
      </c>
      <c r="I253" s="33" t="s">
        <v>1</v>
      </c>
      <c r="J253" s="268"/>
      <c r="K253" s="268"/>
      <c r="L253" s="270"/>
      <c r="M253" s="268"/>
      <c r="N253" s="271"/>
      <c r="O253" s="271"/>
      <c r="P253" s="271"/>
      <c r="Q253" s="269"/>
      <c r="R253" s="269"/>
      <c r="S253" s="273"/>
    </row>
    <row r="254" spans="1:19" s="41" customFormat="1" ht="45" customHeight="1">
      <c r="A254" s="44">
        <f t="shared" si="3"/>
        <v>249</v>
      </c>
      <c r="B254" s="82" t="s">
        <v>745</v>
      </c>
      <c r="C254" s="31" t="s">
        <v>791</v>
      </c>
      <c r="D254" s="31" t="s">
        <v>743</v>
      </c>
      <c r="E254" s="31" t="s">
        <v>74</v>
      </c>
      <c r="F254" s="32" t="s">
        <v>62</v>
      </c>
      <c r="G254" s="32" t="s">
        <v>48</v>
      </c>
      <c r="H254" s="33" t="s">
        <v>1</v>
      </c>
      <c r="I254" s="33" t="s">
        <v>1</v>
      </c>
      <c r="J254" s="268"/>
      <c r="K254" s="268"/>
      <c r="L254" s="270"/>
      <c r="M254" s="268"/>
      <c r="N254" s="271"/>
      <c r="O254" s="271"/>
      <c r="P254" s="271"/>
      <c r="Q254" s="269"/>
      <c r="R254" s="269"/>
      <c r="S254" s="273"/>
    </row>
    <row r="255" spans="1:19" s="41" customFormat="1" ht="45" customHeight="1">
      <c r="A255" s="44">
        <f t="shared" si="3"/>
        <v>250</v>
      </c>
      <c r="B255" s="82" t="s">
        <v>746</v>
      </c>
      <c r="C255" s="31" t="s">
        <v>792</v>
      </c>
      <c r="D255" s="31" t="s">
        <v>743</v>
      </c>
      <c r="E255" s="31" t="s">
        <v>75</v>
      </c>
      <c r="F255" s="32" t="s">
        <v>62</v>
      </c>
      <c r="G255" s="32" t="s">
        <v>48</v>
      </c>
      <c r="H255" s="33" t="s">
        <v>1</v>
      </c>
      <c r="I255" s="33" t="s">
        <v>1</v>
      </c>
      <c r="J255" s="268"/>
      <c r="K255" s="268"/>
      <c r="L255" s="270"/>
      <c r="M255" s="268"/>
      <c r="N255" s="271"/>
      <c r="O255" s="271"/>
      <c r="P255" s="271"/>
      <c r="Q255" s="269"/>
      <c r="R255" s="269"/>
      <c r="S255" s="273"/>
    </row>
    <row r="256" spans="1:19" s="41" customFormat="1" ht="45" customHeight="1">
      <c r="A256" s="44">
        <f t="shared" si="3"/>
        <v>251</v>
      </c>
      <c r="B256" s="82" t="s">
        <v>747</v>
      </c>
      <c r="C256" s="31" t="s">
        <v>790</v>
      </c>
      <c r="D256" s="31" t="s">
        <v>743</v>
      </c>
      <c r="E256" s="31" t="s">
        <v>63</v>
      </c>
      <c r="F256" s="32" t="s">
        <v>76</v>
      </c>
      <c r="G256" s="32" t="s">
        <v>83</v>
      </c>
      <c r="H256" s="60">
        <v>0</v>
      </c>
      <c r="I256" s="60">
        <v>1</v>
      </c>
      <c r="J256" s="268"/>
      <c r="K256" s="268"/>
      <c r="L256" s="270"/>
      <c r="M256" s="268"/>
      <c r="N256" s="271"/>
      <c r="O256" s="271"/>
      <c r="P256" s="271"/>
      <c r="Q256" s="269"/>
      <c r="R256" s="269"/>
      <c r="S256" s="273"/>
    </row>
    <row r="257" spans="1:19" s="41" customFormat="1" ht="45" customHeight="1">
      <c r="A257" s="44">
        <f t="shared" si="3"/>
        <v>252</v>
      </c>
      <c r="B257" s="82" t="s">
        <v>748</v>
      </c>
      <c r="C257" s="31" t="s">
        <v>793</v>
      </c>
      <c r="D257" s="31" t="s">
        <v>749</v>
      </c>
      <c r="E257" s="31" t="s">
        <v>114</v>
      </c>
      <c r="F257" s="32" t="s">
        <v>76</v>
      </c>
      <c r="G257" s="32" t="s">
        <v>83</v>
      </c>
      <c r="H257" s="60">
        <v>0</v>
      </c>
      <c r="I257" s="60">
        <v>1</v>
      </c>
      <c r="J257" s="268" t="s">
        <v>1111</v>
      </c>
      <c r="K257" s="268" t="s">
        <v>1112</v>
      </c>
      <c r="L257" s="270">
        <v>1</v>
      </c>
      <c r="M257" s="268" t="s">
        <v>52</v>
      </c>
      <c r="N257" s="271" t="s">
        <v>907</v>
      </c>
      <c r="O257" s="271" t="s">
        <v>1</v>
      </c>
      <c r="P257" s="271" t="s">
        <v>1</v>
      </c>
      <c r="Q257" s="269" t="s">
        <v>1241</v>
      </c>
      <c r="R257" s="269"/>
      <c r="S257" s="273">
        <v>1</v>
      </c>
    </row>
    <row r="258" spans="1:19" s="41" customFormat="1" ht="45" customHeight="1">
      <c r="A258" s="44">
        <f t="shared" si="3"/>
        <v>253</v>
      </c>
      <c r="B258" s="82" t="s">
        <v>750</v>
      </c>
      <c r="C258" s="31" t="s">
        <v>794</v>
      </c>
      <c r="D258" s="31" t="s">
        <v>749</v>
      </c>
      <c r="E258" s="31" t="s">
        <v>111</v>
      </c>
      <c r="F258" s="32" t="s">
        <v>80</v>
      </c>
      <c r="G258" s="32" t="s">
        <v>48</v>
      </c>
      <c r="H258" s="33" t="s">
        <v>1</v>
      </c>
      <c r="I258" s="33" t="s">
        <v>1</v>
      </c>
      <c r="J258" s="268"/>
      <c r="K258" s="268"/>
      <c r="L258" s="270"/>
      <c r="M258" s="268"/>
      <c r="N258" s="271"/>
      <c r="O258" s="271"/>
      <c r="P258" s="271"/>
      <c r="Q258" s="269"/>
      <c r="R258" s="269"/>
      <c r="S258" s="273"/>
    </row>
    <row r="259" spans="1:19" s="41" customFormat="1" ht="45" customHeight="1">
      <c r="A259" s="44">
        <f t="shared" si="3"/>
        <v>254</v>
      </c>
      <c r="B259" s="82" t="s">
        <v>751</v>
      </c>
      <c r="C259" s="31" t="s">
        <v>795</v>
      </c>
      <c r="D259" s="31" t="s">
        <v>749</v>
      </c>
      <c r="E259" s="31" t="s">
        <v>74</v>
      </c>
      <c r="F259" s="32" t="s">
        <v>62</v>
      </c>
      <c r="G259" s="32" t="s">
        <v>48</v>
      </c>
      <c r="H259" s="33" t="s">
        <v>1</v>
      </c>
      <c r="I259" s="33" t="s">
        <v>1</v>
      </c>
      <c r="J259" s="268"/>
      <c r="K259" s="268"/>
      <c r="L259" s="270"/>
      <c r="M259" s="268"/>
      <c r="N259" s="271"/>
      <c r="O259" s="271"/>
      <c r="P259" s="271"/>
      <c r="Q259" s="269"/>
      <c r="R259" s="269"/>
      <c r="S259" s="273"/>
    </row>
    <row r="260" spans="1:19" s="41" customFormat="1" ht="45" customHeight="1">
      <c r="A260" s="44">
        <f t="shared" si="3"/>
        <v>255</v>
      </c>
      <c r="B260" s="82" t="s">
        <v>752</v>
      </c>
      <c r="C260" s="31" t="s">
        <v>796</v>
      </c>
      <c r="D260" s="31" t="s">
        <v>749</v>
      </c>
      <c r="E260" s="31" t="s">
        <v>75</v>
      </c>
      <c r="F260" s="32" t="s">
        <v>62</v>
      </c>
      <c r="G260" s="32" t="s">
        <v>48</v>
      </c>
      <c r="H260" s="33" t="s">
        <v>1</v>
      </c>
      <c r="I260" s="33" t="s">
        <v>1</v>
      </c>
      <c r="J260" s="268"/>
      <c r="K260" s="268"/>
      <c r="L260" s="270"/>
      <c r="M260" s="268"/>
      <c r="N260" s="271"/>
      <c r="O260" s="271"/>
      <c r="P260" s="271"/>
      <c r="Q260" s="269"/>
      <c r="R260" s="269"/>
      <c r="S260" s="273"/>
    </row>
    <row r="261" spans="1:19" s="41" customFormat="1" ht="45" customHeight="1">
      <c r="A261" s="44">
        <f t="shared" si="3"/>
        <v>256</v>
      </c>
      <c r="B261" s="82" t="s">
        <v>753</v>
      </c>
      <c r="C261" s="31" t="s">
        <v>794</v>
      </c>
      <c r="D261" s="31" t="s">
        <v>749</v>
      </c>
      <c r="E261" s="31" t="s">
        <v>63</v>
      </c>
      <c r="F261" s="32" t="s">
        <v>76</v>
      </c>
      <c r="G261" s="32" t="s">
        <v>83</v>
      </c>
      <c r="H261" s="60">
        <v>0</v>
      </c>
      <c r="I261" s="60">
        <v>1</v>
      </c>
      <c r="J261" s="268"/>
      <c r="K261" s="268"/>
      <c r="L261" s="270"/>
      <c r="M261" s="268"/>
      <c r="N261" s="271"/>
      <c r="O261" s="271"/>
      <c r="P261" s="271"/>
      <c r="Q261" s="269"/>
      <c r="R261" s="269"/>
      <c r="S261" s="273"/>
    </row>
    <row r="262" spans="1:19" s="41" customFormat="1" ht="45" customHeight="1">
      <c r="A262" s="44">
        <f t="shared" si="3"/>
        <v>257</v>
      </c>
      <c r="B262" s="82" t="s">
        <v>754</v>
      </c>
      <c r="C262" s="31" t="s">
        <v>797</v>
      </c>
      <c r="D262" s="31" t="s">
        <v>755</v>
      </c>
      <c r="E262" s="31" t="s">
        <v>114</v>
      </c>
      <c r="F262" s="32" t="s">
        <v>76</v>
      </c>
      <c r="G262" s="32" t="s">
        <v>83</v>
      </c>
      <c r="H262" s="60">
        <v>0</v>
      </c>
      <c r="I262" s="60">
        <v>1</v>
      </c>
      <c r="J262" s="268" t="s">
        <v>1111</v>
      </c>
      <c r="K262" s="268" t="s">
        <v>1112</v>
      </c>
      <c r="L262" s="270">
        <v>1</v>
      </c>
      <c r="M262" s="268" t="s">
        <v>52</v>
      </c>
      <c r="N262" s="271" t="s">
        <v>907</v>
      </c>
      <c r="O262" s="271" t="s">
        <v>1</v>
      </c>
      <c r="P262" s="271" t="s">
        <v>1</v>
      </c>
      <c r="Q262" s="269" t="s">
        <v>1241</v>
      </c>
      <c r="R262" s="269"/>
      <c r="S262" s="273">
        <v>1</v>
      </c>
    </row>
    <row r="263" spans="1:19" s="41" customFormat="1" ht="45" customHeight="1">
      <c r="A263" s="44">
        <f t="shared" si="3"/>
        <v>258</v>
      </c>
      <c r="B263" s="82" t="s">
        <v>756</v>
      </c>
      <c r="C263" s="31" t="s">
        <v>798</v>
      </c>
      <c r="D263" s="31" t="s">
        <v>755</v>
      </c>
      <c r="E263" s="31" t="s">
        <v>111</v>
      </c>
      <c r="F263" s="32" t="s">
        <v>80</v>
      </c>
      <c r="G263" s="32" t="s">
        <v>48</v>
      </c>
      <c r="H263" s="33" t="s">
        <v>1</v>
      </c>
      <c r="I263" s="33" t="s">
        <v>1</v>
      </c>
      <c r="J263" s="268"/>
      <c r="K263" s="268"/>
      <c r="L263" s="270"/>
      <c r="M263" s="268"/>
      <c r="N263" s="271"/>
      <c r="O263" s="271"/>
      <c r="P263" s="271"/>
      <c r="Q263" s="269"/>
      <c r="R263" s="269"/>
      <c r="S263" s="273"/>
    </row>
    <row r="264" spans="1:19" s="41" customFormat="1" ht="45" customHeight="1">
      <c r="A264" s="44">
        <f t="shared" ref="A264:A303" si="4">A263+1</f>
        <v>259</v>
      </c>
      <c r="B264" s="82" t="s">
        <v>757</v>
      </c>
      <c r="C264" s="31" t="s">
        <v>799</v>
      </c>
      <c r="D264" s="31" t="s">
        <v>755</v>
      </c>
      <c r="E264" s="31" t="s">
        <v>74</v>
      </c>
      <c r="F264" s="32" t="s">
        <v>62</v>
      </c>
      <c r="G264" s="32" t="s">
        <v>48</v>
      </c>
      <c r="H264" s="33" t="s">
        <v>1</v>
      </c>
      <c r="I264" s="33" t="s">
        <v>1</v>
      </c>
      <c r="J264" s="268"/>
      <c r="K264" s="268"/>
      <c r="L264" s="270"/>
      <c r="M264" s="268"/>
      <c r="N264" s="271"/>
      <c r="O264" s="271"/>
      <c r="P264" s="271"/>
      <c r="Q264" s="269"/>
      <c r="R264" s="269"/>
      <c r="S264" s="273"/>
    </row>
    <row r="265" spans="1:19" s="41" customFormat="1" ht="45" customHeight="1">
      <c r="A265" s="44">
        <f t="shared" si="4"/>
        <v>260</v>
      </c>
      <c r="B265" s="82" t="s">
        <v>758</v>
      </c>
      <c r="C265" s="31" t="s">
        <v>800</v>
      </c>
      <c r="D265" s="31" t="s">
        <v>755</v>
      </c>
      <c r="E265" s="31" t="s">
        <v>75</v>
      </c>
      <c r="F265" s="32" t="s">
        <v>62</v>
      </c>
      <c r="G265" s="32" t="s">
        <v>48</v>
      </c>
      <c r="H265" s="33" t="s">
        <v>1</v>
      </c>
      <c r="I265" s="33" t="s">
        <v>1</v>
      </c>
      <c r="J265" s="268"/>
      <c r="K265" s="268"/>
      <c r="L265" s="270"/>
      <c r="M265" s="268"/>
      <c r="N265" s="271"/>
      <c r="O265" s="271"/>
      <c r="P265" s="271"/>
      <c r="Q265" s="269"/>
      <c r="R265" s="269"/>
      <c r="S265" s="273"/>
    </row>
    <row r="266" spans="1:19" s="41" customFormat="1" ht="45" customHeight="1">
      <c r="A266" s="44">
        <f t="shared" si="4"/>
        <v>261</v>
      </c>
      <c r="B266" s="82" t="s">
        <v>759</v>
      </c>
      <c r="C266" s="31" t="s">
        <v>798</v>
      </c>
      <c r="D266" s="31" t="s">
        <v>755</v>
      </c>
      <c r="E266" s="31" t="s">
        <v>63</v>
      </c>
      <c r="F266" s="32" t="s">
        <v>76</v>
      </c>
      <c r="G266" s="32" t="s">
        <v>83</v>
      </c>
      <c r="H266" s="60">
        <v>0</v>
      </c>
      <c r="I266" s="60">
        <v>1</v>
      </c>
      <c r="J266" s="268"/>
      <c r="K266" s="268"/>
      <c r="L266" s="270"/>
      <c r="M266" s="268"/>
      <c r="N266" s="271"/>
      <c r="O266" s="271"/>
      <c r="P266" s="271"/>
      <c r="Q266" s="269"/>
      <c r="R266" s="269"/>
      <c r="S266" s="273"/>
    </row>
    <row r="267" spans="1:19" s="41" customFormat="1" ht="45" customHeight="1">
      <c r="A267" s="44">
        <f t="shared" si="4"/>
        <v>262</v>
      </c>
      <c r="B267" s="82" t="s">
        <v>760</v>
      </c>
      <c r="C267" s="31" t="s">
        <v>801</v>
      </c>
      <c r="D267" s="31" t="s">
        <v>761</v>
      </c>
      <c r="E267" s="31" t="s">
        <v>114</v>
      </c>
      <c r="F267" s="32" t="s">
        <v>76</v>
      </c>
      <c r="G267" s="32" t="s">
        <v>83</v>
      </c>
      <c r="H267" s="60">
        <v>0</v>
      </c>
      <c r="I267" s="60">
        <v>1</v>
      </c>
      <c r="J267" s="268" t="s">
        <v>1111</v>
      </c>
      <c r="K267" s="268" t="s">
        <v>1112</v>
      </c>
      <c r="L267" s="270">
        <v>1</v>
      </c>
      <c r="M267" s="268" t="s">
        <v>52</v>
      </c>
      <c r="N267" s="271" t="s">
        <v>907</v>
      </c>
      <c r="O267" s="271" t="s">
        <v>1</v>
      </c>
      <c r="P267" s="271" t="s">
        <v>1</v>
      </c>
      <c r="Q267" s="269" t="s">
        <v>1241</v>
      </c>
      <c r="R267" s="269"/>
      <c r="S267" s="273">
        <v>1</v>
      </c>
    </row>
    <row r="268" spans="1:19" s="41" customFormat="1" ht="45" customHeight="1">
      <c r="A268" s="44">
        <f t="shared" si="4"/>
        <v>263</v>
      </c>
      <c r="B268" s="82" t="s">
        <v>762</v>
      </c>
      <c r="C268" s="31" t="s">
        <v>802</v>
      </c>
      <c r="D268" s="31" t="s">
        <v>761</v>
      </c>
      <c r="E268" s="31" t="s">
        <v>111</v>
      </c>
      <c r="F268" s="32" t="s">
        <v>80</v>
      </c>
      <c r="G268" s="32" t="s">
        <v>48</v>
      </c>
      <c r="H268" s="33" t="s">
        <v>1</v>
      </c>
      <c r="I268" s="33" t="s">
        <v>1</v>
      </c>
      <c r="J268" s="268"/>
      <c r="K268" s="268"/>
      <c r="L268" s="270"/>
      <c r="M268" s="268"/>
      <c r="N268" s="271"/>
      <c r="O268" s="271"/>
      <c r="P268" s="271"/>
      <c r="Q268" s="269"/>
      <c r="R268" s="269"/>
      <c r="S268" s="273"/>
    </row>
    <row r="269" spans="1:19" s="41" customFormat="1" ht="45" customHeight="1">
      <c r="A269" s="44">
        <f t="shared" si="4"/>
        <v>264</v>
      </c>
      <c r="B269" s="82" t="s">
        <v>763</v>
      </c>
      <c r="C269" s="31" t="s">
        <v>803</v>
      </c>
      <c r="D269" s="31" t="s">
        <v>761</v>
      </c>
      <c r="E269" s="31" t="s">
        <v>74</v>
      </c>
      <c r="F269" s="32" t="s">
        <v>62</v>
      </c>
      <c r="G269" s="32" t="s">
        <v>48</v>
      </c>
      <c r="H269" s="33" t="s">
        <v>1</v>
      </c>
      <c r="I269" s="33" t="s">
        <v>1</v>
      </c>
      <c r="J269" s="268"/>
      <c r="K269" s="268"/>
      <c r="L269" s="270"/>
      <c r="M269" s="268"/>
      <c r="N269" s="271"/>
      <c r="O269" s="271"/>
      <c r="P269" s="271"/>
      <c r="Q269" s="269"/>
      <c r="R269" s="269"/>
      <c r="S269" s="273"/>
    </row>
    <row r="270" spans="1:19" s="41" customFormat="1" ht="45" customHeight="1">
      <c r="A270" s="44">
        <f t="shared" si="4"/>
        <v>265</v>
      </c>
      <c r="B270" s="82" t="s">
        <v>764</v>
      </c>
      <c r="C270" s="31" t="s">
        <v>804</v>
      </c>
      <c r="D270" s="31" t="s">
        <v>761</v>
      </c>
      <c r="E270" s="31" t="s">
        <v>75</v>
      </c>
      <c r="F270" s="32" t="s">
        <v>62</v>
      </c>
      <c r="G270" s="32" t="s">
        <v>48</v>
      </c>
      <c r="H270" s="33" t="s">
        <v>1</v>
      </c>
      <c r="I270" s="33" t="s">
        <v>1</v>
      </c>
      <c r="J270" s="268"/>
      <c r="K270" s="268"/>
      <c r="L270" s="270"/>
      <c r="M270" s="268"/>
      <c r="N270" s="271"/>
      <c r="O270" s="271"/>
      <c r="P270" s="271"/>
      <c r="Q270" s="269"/>
      <c r="R270" s="269"/>
      <c r="S270" s="273"/>
    </row>
    <row r="271" spans="1:19" s="41" customFormat="1" ht="45" customHeight="1">
      <c r="A271" s="44">
        <f t="shared" si="4"/>
        <v>266</v>
      </c>
      <c r="B271" s="82" t="s">
        <v>765</v>
      </c>
      <c r="C271" s="31" t="s">
        <v>802</v>
      </c>
      <c r="D271" s="31" t="s">
        <v>761</v>
      </c>
      <c r="E271" s="31" t="s">
        <v>63</v>
      </c>
      <c r="F271" s="32" t="s">
        <v>76</v>
      </c>
      <c r="G271" s="32" t="s">
        <v>83</v>
      </c>
      <c r="H271" s="60">
        <v>0</v>
      </c>
      <c r="I271" s="60">
        <v>1</v>
      </c>
      <c r="J271" s="268"/>
      <c r="K271" s="268"/>
      <c r="L271" s="270"/>
      <c r="M271" s="268"/>
      <c r="N271" s="271"/>
      <c r="O271" s="271"/>
      <c r="P271" s="271"/>
      <c r="Q271" s="269"/>
      <c r="R271" s="269"/>
      <c r="S271" s="273"/>
    </row>
    <row r="272" spans="1:19" s="41" customFormat="1" ht="45" customHeight="1">
      <c r="A272" s="44">
        <f t="shared" si="4"/>
        <v>267</v>
      </c>
      <c r="B272" s="82" t="s">
        <v>766</v>
      </c>
      <c r="C272" s="31" t="s">
        <v>232</v>
      </c>
      <c r="D272" s="31" t="s">
        <v>767</v>
      </c>
      <c r="E272" s="31" t="s">
        <v>292</v>
      </c>
      <c r="F272" s="32" t="s">
        <v>379</v>
      </c>
      <c r="G272" s="32" t="s">
        <v>48</v>
      </c>
      <c r="H272" s="33" t="s">
        <v>1</v>
      </c>
      <c r="I272" s="33" t="s">
        <v>1</v>
      </c>
      <c r="J272" s="268" t="s">
        <v>1079</v>
      </c>
      <c r="K272" s="268" t="s">
        <v>1142</v>
      </c>
      <c r="L272" s="270">
        <v>1</v>
      </c>
      <c r="M272" s="268" t="s">
        <v>52</v>
      </c>
      <c r="N272" s="271" t="s">
        <v>907</v>
      </c>
      <c r="O272" s="271" t="s">
        <v>1</v>
      </c>
      <c r="P272" s="271" t="s">
        <v>1</v>
      </c>
      <c r="Q272" s="269" t="s">
        <v>1242</v>
      </c>
      <c r="R272" s="269"/>
      <c r="S272" s="273">
        <v>2</v>
      </c>
    </row>
    <row r="273" spans="1:19" s="41" customFormat="1" ht="45" customHeight="1">
      <c r="A273" s="44">
        <f t="shared" si="4"/>
        <v>268</v>
      </c>
      <c r="B273" s="82" t="s">
        <v>768</v>
      </c>
      <c r="C273" s="31" t="s">
        <v>231</v>
      </c>
      <c r="D273" s="31" t="s">
        <v>767</v>
      </c>
      <c r="E273" s="31" t="s">
        <v>293</v>
      </c>
      <c r="F273" s="32" t="s">
        <v>143</v>
      </c>
      <c r="G273" s="32" t="s">
        <v>48</v>
      </c>
      <c r="H273" s="33" t="s">
        <v>1</v>
      </c>
      <c r="I273" s="33" t="s">
        <v>1</v>
      </c>
      <c r="J273" s="268"/>
      <c r="K273" s="268"/>
      <c r="L273" s="270"/>
      <c r="M273" s="268"/>
      <c r="N273" s="271"/>
      <c r="O273" s="271"/>
      <c r="P273" s="271"/>
      <c r="Q273" s="269"/>
      <c r="R273" s="269"/>
      <c r="S273" s="273"/>
    </row>
    <row r="274" spans="1:19" s="41" customFormat="1" ht="45" customHeight="1">
      <c r="A274" s="44">
        <f t="shared" si="4"/>
        <v>269</v>
      </c>
      <c r="B274" s="82" t="s">
        <v>769</v>
      </c>
      <c r="C274" s="31" t="s">
        <v>1</v>
      </c>
      <c r="D274" s="31" t="s">
        <v>767</v>
      </c>
      <c r="E274" s="31" t="s">
        <v>339</v>
      </c>
      <c r="F274" s="32" t="s">
        <v>31</v>
      </c>
      <c r="G274" s="32" t="s">
        <v>83</v>
      </c>
      <c r="H274" s="60" t="s">
        <v>1</v>
      </c>
      <c r="I274" s="60" t="s">
        <v>1</v>
      </c>
      <c r="J274" s="34" t="s">
        <v>93</v>
      </c>
      <c r="K274" s="34" t="s">
        <v>447</v>
      </c>
      <c r="L274" s="43">
        <v>1</v>
      </c>
      <c r="M274" s="34" t="s">
        <v>65</v>
      </c>
      <c r="N274" s="32" t="s">
        <v>907</v>
      </c>
      <c r="O274" s="32" t="s">
        <v>1</v>
      </c>
      <c r="P274" s="32" t="s">
        <v>895</v>
      </c>
      <c r="Q274" s="269" t="s">
        <v>1</v>
      </c>
      <c r="R274" s="269"/>
      <c r="S274" s="45">
        <v>1</v>
      </c>
    </row>
    <row r="275" spans="1:19" s="41" customFormat="1" ht="45" customHeight="1">
      <c r="A275" s="44">
        <f t="shared" si="4"/>
        <v>270</v>
      </c>
      <c r="B275" s="82" t="s">
        <v>770</v>
      </c>
      <c r="C275" s="31" t="s">
        <v>1</v>
      </c>
      <c r="D275" s="31" t="s">
        <v>767</v>
      </c>
      <c r="E275" s="31" t="s">
        <v>320</v>
      </c>
      <c r="F275" s="32" t="s">
        <v>88</v>
      </c>
      <c r="G275" s="32" t="s">
        <v>89</v>
      </c>
      <c r="H275" s="33" t="s">
        <v>113</v>
      </c>
      <c r="I275" s="33" t="s">
        <v>250</v>
      </c>
      <c r="J275" s="34" t="s">
        <v>425</v>
      </c>
      <c r="K275" s="34" t="s">
        <v>426</v>
      </c>
      <c r="L275" s="43">
        <v>1</v>
      </c>
      <c r="M275" s="34" t="s">
        <v>65</v>
      </c>
      <c r="N275" s="32" t="s">
        <v>907</v>
      </c>
      <c r="O275" s="32" t="s">
        <v>1</v>
      </c>
      <c r="P275" s="32" t="s">
        <v>892</v>
      </c>
      <c r="Q275" s="269" t="s">
        <v>1</v>
      </c>
      <c r="R275" s="269"/>
      <c r="S275" s="45">
        <v>1</v>
      </c>
    </row>
    <row r="276" spans="1:19" s="41" customFormat="1" ht="45" customHeight="1">
      <c r="A276" s="44">
        <f t="shared" si="4"/>
        <v>271</v>
      </c>
      <c r="B276" s="82" t="s">
        <v>771</v>
      </c>
      <c r="C276" s="31" t="s">
        <v>1</v>
      </c>
      <c r="D276" s="31" t="s">
        <v>772</v>
      </c>
      <c r="E276" s="31" t="s">
        <v>358</v>
      </c>
      <c r="F276" s="32" t="s">
        <v>1010</v>
      </c>
      <c r="G276" s="32" t="s">
        <v>48</v>
      </c>
      <c r="H276" s="33" t="s">
        <v>1</v>
      </c>
      <c r="I276" s="33" t="s">
        <v>1</v>
      </c>
      <c r="J276" s="268" t="s">
        <v>1079</v>
      </c>
      <c r="K276" s="268" t="s">
        <v>1113</v>
      </c>
      <c r="L276" s="270">
        <v>1</v>
      </c>
      <c r="M276" s="268" t="s">
        <v>52</v>
      </c>
      <c r="N276" s="271" t="s">
        <v>907</v>
      </c>
      <c r="O276" s="271" t="s">
        <v>1</v>
      </c>
      <c r="P276" s="271" t="s">
        <v>1</v>
      </c>
      <c r="Q276" s="269" t="s">
        <v>1242</v>
      </c>
      <c r="R276" s="269"/>
      <c r="S276" s="273">
        <v>1</v>
      </c>
    </row>
    <row r="277" spans="1:19" s="41" customFormat="1" ht="45" customHeight="1">
      <c r="A277" s="44">
        <f t="shared" si="4"/>
        <v>272</v>
      </c>
      <c r="B277" s="82" t="s">
        <v>773</v>
      </c>
      <c r="C277" s="31" t="s">
        <v>1</v>
      </c>
      <c r="D277" s="31" t="s">
        <v>772</v>
      </c>
      <c r="E277" s="31" t="s">
        <v>346</v>
      </c>
      <c r="F277" s="32" t="s">
        <v>1010</v>
      </c>
      <c r="G277" s="32" t="s">
        <v>48</v>
      </c>
      <c r="H277" s="33" t="s">
        <v>1</v>
      </c>
      <c r="I277" s="33" t="s">
        <v>1</v>
      </c>
      <c r="J277" s="268"/>
      <c r="K277" s="268"/>
      <c r="L277" s="270"/>
      <c r="M277" s="268"/>
      <c r="N277" s="271"/>
      <c r="O277" s="271"/>
      <c r="P277" s="271"/>
      <c r="Q277" s="269"/>
      <c r="R277" s="269"/>
      <c r="S277" s="273"/>
    </row>
    <row r="278" spans="1:19" s="41" customFormat="1" ht="45" customHeight="1">
      <c r="A278" s="44">
        <f t="shared" si="4"/>
        <v>273</v>
      </c>
      <c r="B278" s="82" t="s">
        <v>774</v>
      </c>
      <c r="C278" s="31" t="s">
        <v>1</v>
      </c>
      <c r="D278" s="31" t="s">
        <v>775</v>
      </c>
      <c r="E278" s="31" t="s">
        <v>70</v>
      </c>
      <c r="F278" s="32" t="s">
        <v>69</v>
      </c>
      <c r="G278" s="32" t="s">
        <v>48</v>
      </c>
      <c r="H278" s="33" t="s">
        <v>1</v>
      </c>
      <c r="I278" s="33" t="s">
        <v>1</v>
      </c>
      <c r="J278" s="34" t="s">
        <v>424</v>
      </c>
      <c r="K278" s="34" t="s">
        <v>1007</v>
      </c>
      <c r="L278" s="35">
        <v>1</v>
      </c>
      <c r="M278" s="34" t="s">
        <v>65</v>
      </c>
      <c r="N278" s="32" t="s">
        <v>903</v>
      </c>
      <c r="O278" s="32" t="s">
        <v>1</v>
      </c>
      <c r="P278" s="32" t="s">
        <v>890</v>
      </c>
      <c r="Q278" s="269" t="s">
        <v>1</v>
      </c>
      <c r="R278" s="269"/>
      <c r="S278" s="45">
        <v>1</v>
      </c>
    </row>
    <row r="279" spans="1:19" s="41" customFormat="1" ht="45" customHeight="1">
      <c r="A279" s="44">
        <f t="shared" si="4"/>
        <v>274</v>
      </c>
      <c r="B279" s="82" t="s">
        <v>776</v>
      </c>
      <c r="C279" s="31" t="s">
        <v>1</v>
      </c>
      <c r="D279" s="31" t="s">
        <v>1036</v>
      </c>
      <c r="E279" s="31" t="s">
        <v>70</v>
      </c>
      <c r="F279" s="32" t="s">
        <v>69</v>
      </c>
      <c r="G279" s="32" t="s">
        <v>48</v>
      </c>
      <c r="H279" s="33" t="s">
        <v>1</v>
      </c>
      <c r="I279" s="33" t="s">
        <v>1</v>
      </c>
      <c r="J279" s="34" t="s">
        <v>424</v>
      </c>
      <c r="K279" s="34" t="s">
        <v>1007</v>
      </c>
      <c r="L279" s="35">
        <v>1</v>
      </c>
      <c r="M279" s="34" t="s">
        <v>65</v>
      </c>
      <c r="N279" s="32" t="s">
        <v>906</v>
      </c>
      <c r="O279" s="32" t="s">
        <v>1</v>
      </c>
      <c r="P279" s="32" t="s">
        <v>890</v>
      </c>
      <c r="Q279" s="269" t="s">
        <v>1</v>
      </c>
      <c r="R279" s="269"/>
      <c r="S279" s="45">
        <v>1</v>
      </c>
    </row>
    <row r="280" spans="1:19" s="113" customFormat="1" ht="45" customHeight="1">
      <c r="A280" s="44">
        <f t="shared" si="4"/>
        <v>275</v>
      </c>
      <c r="B280" s="115" t="s">
        <v>1327</v>
      </c>
      <c r="C280" s="115" t="s">
        <v>1</v>
      </c>
      <c r="D280" s="115" t="s">
        <v>780</v>
      </c>
      <c r="E280" s="115" t="s">
        <v>1331</v>
      </c>
      <c r="F280" s="116" t="s">
        <v>88</v>
      </c>
      <c r="G280" s="116" t="s">
        <v>89</v>
      </c>
      <c r="H280" s="120" t="s">
        <v>113</v>
      </c>
      <c r="I280" s="120" t="s">
        <v>250</v>
      </c>
      <c r="J280" s="118" t="s">
        <v>461</v>
      </c>
      <c r="K280" s="118" t="s">
        <v>462</v>
      </c>
      <c r="L280" s="121">
        <v>1</v>
      </c>
      <c r="M280" s="118" t="s">
        <v>65</v>
      </c>
      <c r="N280" s="116" t="s">
        <v>908</v>
      </c>
      <c r="O280" s="116" t="s">
        <v>1</v>
      </c>
      <c r="P280" s="116" t="s">
        <v>1333</v>
      </c>
      <c r="Q280" s="272" t="s">
        <v>1</v>
      </c>
      <c r="R280" s="272"/>
      <c r="S280" s="119">
        <v>5</v>
      </c>
    </row>
    <row r="281" spans="1:19" s="41" customFormat="1" ht="45" customHeight="1">
      <c r="A281" s="44">
        <f t="shared" si="4"/>
        <v>276</v>
      </c>
      <c r="B281" s="82" t="s">
        <v>779</v>
      </c>
      <c r="C281" s="31" t="s">
        <v>1</v>
      </c>
      <c r="D281" s="31" t="s">
        <v>780</v>
      </c>
      <c r="E281" s="31" t="s">
        <v>460</v>
      </c>
      <c r="F281" s="32" t="s">
        <v>88</v>
      </c>
      <c r="G281" s="32" t="s">
        <v>89</v>
      </c>
      <c r="H281" s="33" t="s">
        <v>113</v>
      </c>
      <c r="I281" s="33" t="s">
        <v>250</v>
      </c>
      <c r="J281" s="34" t="s">
        <v>461</v>
      </c>
      <c r="K281" s="34" t="s">
        <v>462</v>
      </c>
      <c r="L281" s="35">
        <v>1</v>
      </c>
      <c r="M281" s="34" t="s">
        <v>65</v>
      </c>
      <c r="N281" s="32" t="s">
        <v>908</v>
      </c>
      <c r="O281" s="32" t="s">
        <v>1</v>
      </c>
      <c r="P281" s="32" t="s">
        <v>892</v>
      </c>
      <c r="Q281" s="269" t="s">
        <v>1</v>
      </c>
      <c r="R281" s="269"/>
      <c r="S281" s="45">
        <v>1</v>
      </c>
    </row>
    <row r="282" spans="1:19" s="113" customFormat="1" ht="45" customHeight="1">
      <c r="A282" s="44">
        <f t="shared" si="4"/>
        <v>277</v>
      </c>
      <c r="B282" s="115" t="s">
        <v>1328</v>
      </c>
      <c r="C282" s="115" t="s">
        <v>1</v>
      </c>
      <c r="D282" s="115" t="s">
        <v>1322</v>
      </c>
      <c r="E282" s="115" t="s">
        <v>1332</v>
      </c>
      <c r="F282" s="116" t="s">
        <v>88</v>
      </c>
      <c r="G282" s="116" t="s">
        <v>89</v>
      </c>
      <c r="H282" s="120" t="s">
        <v>113</v>
      </c>
      <c r="I282" s="120" t="s">
        <v>250</v>
      </c>
      <c r="J282" s="118" t="s">
        <v>461</v>
      </c>
      <c r="K282" s="118" t="s">
        <v>462</v>
      </c>
      <c r="L282" s="121">
        <v>1</v>
      </c>
      <c r="M282" s="118" t="s">
        <v>65</v>
      </c>
      <c r="N282" s="116" t="s">
        <v>908</v>
      </c>
      <c r="O282" s="116" t="s">
        <v>1</v>
      </c>
      <c r="P282" s="116" t="s">
        <v>1333</v>
      </c>
      <c r="Q282" s="272" t="s">
        <v>1</v>
      </c>
      <c r="R282" s="272"/>
      <c r="S282" s="119">
        <v>5</v>
      </c>
    </row>
    <row r="283" spans="1:19" s="41" customFormat="1" ht="45" customHeight="1">
      <c r="A283" s="44">
        <f t="shared" si="4"/>
        <v>278</v>
      </c>
      <c r="B283" s="115" t="s">
        <v>1321</v>
      </c>
      <c r="C283" s="31" t="s">
        <v>1</v>
      </c>
      <c r="D283" s="115" t="s">
        <v>1322</v>
      </c>
      <c r="E283" s="31" t="s">
        <v>463</v>
      </c>
      <c r="F283" s="32" t="s">
        <v>88</v>
      </c>
      <c r="G283" s="32" t="s">
        <v>89</v>
      </c>
      <c r="H283" s="33" t="s">
        <v>113</v>
      </c>
      <c r="I283" s="33" t="s">
        <v>250</v>
      </c>
      <c r="J283" s="34" t="s">
        <v>461</v>
      </c>
      <c r="K283" s="34" t="s">
        <v>462</v>
      </c>
      <c r="L283" s="35">
        <v>1</v>
      </c>
      <c r="M283" s="34" t="s">
        <v>65</v>
      </c>
      <c r="N283" s="32" t="s">
        <v>908</v>
      </c>
      <c r="O283" s="32" t="s">
        <v>1</v>
      </c>
      <c r="P283" s="32" t="s">
        <v>892</v>
      </c>
      <c r="Q283" s="269" t="s">
        <v>1</v>
      </c>
      <c r="R283" s="269"/>
      <c r="S283" s="45">
        <v>5</v>
      </c>
    </row>
    <row r="284" spans="1:19" s="113" customFormat="1" ht="45" customHeight="1">
      <c r="A284" s="44">
        <f t="shared" si="4"/>
        <v>279</v>
      </c>
      <c r="B284" s="115" t="s">
        <v>1329</v>
      </c>
      <c r="C284" s="115" t="s">
        <v>1</v>
      </c>
      <c r="D284" s="115" t="s">
        <v>1323</v>
      </c>
      <c r="E284" s="115" t="s">
        <v>1332</v>
      </c>
      <c r="F284" s="116" t="s">
        <v>88</v>
      </c>
      <c r="G284" s="116" t="s">
        <v>89</v>
      </c>
      <c r="H284" s="120" t="s">
        <v>113</v>
      </c>
      <c r="I284" s="120" t="s">
        <v>250</v>
      </c>
      <c r="J284" s="118" t="s">
        <v>461</v>
      </c>
      <c r="K284" s="118" t="s">
        <v>462</v>
      </c>
      <c r="L284" s="121">
        <v>1</v>
      </c>
      <c r="M284" s="118" t="s">
        <v>65</v>
      </c>
      <c r="N284" s="116" t="s">
        <v>908</v>
      </c>
      <c r="O284" s="116" t="s">
        <v>1</v>
      </c>
      <c r="P284" s="116" t="s">
        <v>1333</v>
      </c>
      <c r="Q284" s="272" t="s">
        <v>1</v>
      </c>
      <c r="R284" s="272"/>
      <c r="S284" s="119">
        <v>5</v>
      </c>
    </row>
    <row r="285" spans="1:19" s="41" customFormat="1" ht="45" customHeight="1">
      <c r="A285" s="44">
        <f t="shared" si="4"/>
        <v>280</v>
      </c>
      <c r="B285" s="115" t="s">
        <v>1320</v>
      </c>
      <c r="C285" s="31" t="s">
        <v>1</v>
      </c>
      <c r="D285" s="115" t="s">
        <v>1323</v>
      </c>
      <c r="E285" s="31" t="s">
        <v>463</v>
      </c>
      <c r="F285" s="32" t="s">
        <v>88</v>
      </c>
      <c r="G285" s="32" t="s">
        <v>89</v>
      </c>
      <c r="H285" s="33" t="s">
        <v>113</v>
      </c>
      <c r="I285" s="33" t="s">
        <v>250</v>
      </c>
      <c r="J285" s="34" t="s">
        <v>461</v>
      </c>
      <c r="K285" s="34" t="s">
        <v>462</v>
      </c>
      <c r="L285" s="35">
        <v>1</v>
      </c>
      <c r="M285" s="34" t="s">
        <v>65</v>
      </c>
      <c r="N285" s="32" t="s">
        <v>908</v>
      </c>
      <c r="O285" s="32" t="s">
        <v>1</v>
      </c>
      <c r="P285" s="32" t="s">
        <v>892</v>
      </c>
      <c r="Q285" s="269" t="s">
        <v>1</v>
      </c>
      <c r="R285" s="269"/>
      <c r="S285" s="45">
        <v>5</v>
      </c>
    </row>
    <row r="286" spans="1:19" s="129" customFormat="1" ht="45" customHeight="1">
      <c r="A286" s="44">
        <f t="shared" si="4"/>
        <v>281</v>
      </c>
      <c r="B286" s="115" t="s">
        <v>1330</v>
      </c>
      <c r="C286" s="115" t="s">
        <v>1</v>
      </c>
      <c r="D286" s="115" t="s">
        <v>1325</v>
      </c>
      <c r="E286" s="115" t="s">
        <v>1332</v>
      </c>
      <c r="F286" s="116" t="s">
        <v>88</v>
      </c>
      <c r="G286" s="116" t="s">
        <v>89</v>
      </c>
      <c r="H286" s="120" t="s">
        <v>113</v>
      </c>
      <c r="I286" s="120" t="s">
        <v>250</v>
      </c>
      <c r="J286" s="118" t="s">
        <v>461</v>
      </c>
      <c r="K286" s="118" t="s">
        <v>462</v>
      </c>
      <c r="L286" s="121">
        <v>1</v>
      </c>
      <c r="M286" s="118" t="s">
        <v>65</v>
      </c>
      <c r="N286" s="116" t="s">
        <v>908</v>
      </c>
      <c r="O286" s="116" t="s">
        <v>1</v>
      </c>
      <c r="P286" s="116" t="s">
        <v>1333</v>
      </c>
      <c r="Q286" s="272" t="s">
        <v>1</v>
      </c>
      <c r="R286" s="272"/>
      <c r="S286" s="119">
        <v>5</v>
      </c>
    </row>
    <row r="287" spans="1:19" s="128" customFormat="1" ht="45" customHeight="1">
      <c r="A287" s="44">
        <f t="shared" si="4"/>
        <v>282</v>
      </c>
      <c r="B287" s="115" t="s">
        <v>1324</v>
      </c>
      <c r="C287" s="82" t="s">
        <v>1</v>
      </c>
      <c r="D287" s="115" t="s">
        <v>1325</v>
      </c>
      <c r="E287" s="82" t="s">
        <v>463</v>
      </c>
      <c r="F287" s="83" t="s">
        <v>88</v>
      </c>
      <c r="G287" s="83" t="s">
        <v>89</v>
      </c>
      <c r="H287" s="84" t="s">
        <v>113</v>
      </c>
      <c r="I287" s="84" t="s">
        <v>250</v>
      </c>
      <c r="J287" s="85" t="s">
        <v>461</v>
      </c>
      <c r="K287" s="85" t="s">
        <v>462</v>
      </c>
      <c r="L287" s="86">
        <v>1</v>
      </c>
      <c r="M287" s="85" t="s">
        <v>65</v>
      </c>
      <c r="N287" s="83" t="s">
        <v>908</v>
      </c>
      <c r="O287" s="83" t="s">
        <v>1</v>
      </c>
      <c r="P287" s="83" t="s">
        <v>1326</v>
      </c>
      <c r="Q287" s="275" t="s">
        <v>1</v>
      </c>
      <c r="R287" s="275"/>
      <c r="S287" s="87">
        <v>5</v>
      </c>
    </row>
    <row r="288" spans="1:19" s="41" customFormat="1" ht="45" customHeight="1">
      <c r="A288" s="44">
        <f t="shared" si="4"/>
        <v>283</v>
      </c>
      <c r="B288" s="82" t="s">
        <v>1259</v>
      </c>
      <c r="C288" s="31" t="s">
        <v>1</v>
      </c>
      <c r="D288" s="31" t="s">
        <v>1263</v>
      </c>
      <c r="E288" s="31" t="s">
        <v>1262</v>
      </c>
      <c r="F288" s="32" t="s">
        <v>88</v>
      </c>
      <c r="G288" s="32" t="s">
        <v>89</v>
      </c>
      <c r="H288" s="33" t="s">
        <v>113</v>
      </c>
      <c r="I288" s="33" t="s">
        <v>250</v>
      </c>
      <c r="J288" s="34" t="s">
        <v>461</v>
      </c>
      <c r="K288" s="34" t="s">
        <v>462</v>
      </c>
      <c r="L288" s="35">
        <v>1</v>
      </c>
      <c r="M288" s="34" t="s">
        <v>65</v>
      </c>
      <c r="N288" s="32" t="s">
        <v>908</v>
      </c>
      <c r="O288" s="32" t="s">
        <v>1</v>
      </c>
      <c r="P288" s="32" t="s">
        <v>892</v>
      </c>
      <c r="Q288" s="269" t="s">
        <v>1</v>
      </c>
      <c r="R288" s="269"/>
      <c r="S288" s="45">
        <v>5</v>
      </c>
    </row>
    <row r="289" spans="1:19" s="41" customFormat="1" ht="45" customHeight="1">
      <c r="A289" s="44">
        <f t="shared" si="4"/>
        <v>284</v>
      </c>
      <c r="B289" s="82" t="s">
        <v>1260</v>
      </c>
      <c r="C289" s="31" t="s">
        <v>1</v>
      </c>
      <c r="D289" s="31" t="s">
        <v>1264</v>
      </c>
      <c r="E289" s="31" t="s">
        <v>1262</v>
      </c>
      <c r="F289" s="32" t="s">
        <v>88</v>
      </c>
      <c r="G289" s="32" t="s">
        <v>89</v>
      </c>
      <c r="H289" s="33" t="s">
        <v>113</v>
      </c>
      <c r="I289" s="33" t="s">
        <v>250</v>
      </c>
      <c r="J289" s="34" t="s">
        <v>461</v>
      </c>
      <c r="K289" s="34" t="s">
        <v>462</v>
      </c>
      <c r="L289" s="35">
        <v>1</v>
      </c>
      <c r="M289" s="34" t="s">
        <v>65</v>
      </c>
      <c r="N289" s="32" t="s">
        <v>908</v>
      </c>
      <c r="O289" s="32" t="s">
        <v>1</v>
      </c>
      <c r="P289" s="32" t="s">
        <v>892</v>
      </c>
      <c r="Q289" s="269" t="s">
        <v>1</v>
      </c>
      <c r="R289" s="269"/>
      <c r="S289" s="45">
        <v>2</v>
      </c>
    </row>
    <row r="290" spans="1:19" s="41" customFormat="1" ht="45" customHeight="1">
      <c r="A290" s="44">
        <f t="shared" si="4"/>
        <v>285</v>
      </c>
      <c r="B290" s="82" t="s">
        <v>1261</v>
      </c>
      <c r="C290" s="31" t="s">
        <v>1</v>
      </c>
      <c r="D290" s="31" t="s">
        <v>1265</v>
      </c>
      <c r="E290" s="31" t="s">
        <v>1262</v>
      </c>
      <c r="F290" s="32" t="s">
        <v>88</v>
      </c>
      <c r="G290" s="32" t="s">
        <v>89</v>
      </c>
      <c r="H290" s="33" t="s">
        <v>113</v>
      </c>
      <c r="I290" s="33" t="s">
        <v>250</v>
      </c>
      <c r="J290" s="34" t="s">
        <v>461</v>
      </c>
      <c r="K290" s="34" t="s">
        <v>462</v>
      </c>
      <c r="L290" s="35">
        <v>1</v>
      </c>
      <c r="M290" s="34" t="s">
        <v>65</v>
      </c>
      <c r="N290" s="32" t="s">
        <v>908</v>
      </c>
      <c r="O290" s="32" t="s">
        <v>1</v>
      </c>
      <c r="P290" s="32" t="s">
        <v>892</v>
      </c>
      <c r="Q290" s="269" t="s">
        <v>1</v>
      </c>
      <c r="R290" s="269"/>
      <c r="S290" s="45">
        <v>2</v>
      </c>
    </row>
    <row r="291" spans="1:19" s="41" customFormat="1" ht="45" customHeight="1">
      <c r="A291" s="44">
        <f t="shared" si="4"/>
        <v>286</v>
      </c>
      <c r="B291" s="82" t="s">
        <v>952</v>
      </c>
      <c r="C291" s="31" t="s">
        <v>233</v>
      </c>
      <c r="D291" s="43" t="s">
        <v>781</v>
      </c>
      <c r="E291" s="31" t="s">
        <v>64</v>
      </c>
      <c r="F291" s="32" t="s">
        <v>49</v>
      </c>
      <c r="G291" s="43" t="s">
        <v>48</v>
      </c>
      <c r="H291" s="42" t="s">
        <v>1</v>
      </c>
      <c r="I291" s="42" t="s">
        <v>1</v>
      </c>
      <c r="J291" s="34" t="s">
        <v>1079</v>
      </c>
      <c r="K291" s="34" t="s">
        <v>1114</v>
      </c>
      <c r="L291" s="43">
        <v>1</v>
      </c>
      <c r="M291" s="34" t="s">
        <v>52</v>
      </c>
      <c r="N291" s="32" t="s">
        <v>904</v>
      </c>
      <c r="O291" s="32" t="s">
        <v>1</v>
      </c>
      <c r="P291" s="32" t="s">
        <v>1</v>
      </c>
      <c r="Q291" s="269" t="s">
        <v>1</v>
      </c>
      <c r="R291" s="269"/>
      <c r="S291" s="45">
        <v>1</v>
      </c>
    </row>
    <row r="292" spans="1:19" s="41" customFormat="1" ht="45" customHeight="1">
      <c r="A292" s="44">
        <f t="shared" si="4"/>
        <v>287</v>
      </c>
      <c r="B292" s="82" t="s">
        <v>953</v>
      </c>
      <c r="C292" s="31" t="s">
        <v>1</v>
      </c>
      <c r="D292" s="31" t="s">
        <v>781</v>
      </c>
      <c r="E292" s="31" t="s">
        <v>919</v>
      </c>
      <c r="F292" s="32" t="s">
        <v>1</v>
      </c>
      <c r="G292" s="32" t="s">
        <v>1</v>
      </c>
      <c r="H292" s="42" t="s">
        <v>1</v>
      </c>
      <c r="I292" s="42" t="s">
        <v>1</v>
      </c>
      <c r="J292" s="34" t="s">
        <v>1</v>
      </c>
      <c r="K292" s="34" t="s">
        <v>404</v>
      </c>
      <c r="L292" s="43">
        <v>1</v>
      </c>
      <c r="M292" s="34" t="s">
        <v>65</v>
      </c>
      <c r="N292" s="32" t="s">
        <v>1</v>
      </c>
      <c r="O292" s="32" t="s">
        <v>407</v>
      </c>
      <c r="P292" s="32" t="s">
        <v>406</v>
      </c>
      <c r="Q292" s="269" t="s">
        <v>405</v>
      </c>
      <c r="R292" s="269"/>
      <c r="S292" s="45">
        <v>1</v>
      </c>
    </row>
    <row r="293" spans="1:19" s="41" customFormat="1" ht="45" customHeight="1">
      <c r="A293" s="44">
        <f t="shared" si="4"/>
        <v>288</v>
      </c>
      <c r="B293" s="82" t="s">
        <v>954</v>
      </c>
      <c r="C293" s="31" t="s">
        <v>234</v>
      </c>
      <c r="D293" s="43" t="s">
        <v>782</v>
      </c>
      <c r="E293" s="31" t="s">
        <v>64</v>
      </c>
      <c r="F293" s="32" t="s">
        <v>49</v>
      </c>
      <c r="G293" s="43" t="s">
        <v>48</v>
      </c>
      <c r="H293" s="42" t="s">
        <v>1</v>
      </c>
      <c r="I293" s="42" t="s">
        <v>1</v>
      </c>
      <c r="J293" s="34" t="s">
        <v>1079</v>
      </c>
      <c r="K293" s="34" t="s">
        <v>1114</v>
      </c>
      <c r="L293" s="43">
        <v>1</v>
      </c>
      <c r="M293" s="34" t="s">
        <v>52</v>
      </c>
      <c r="N293" s="32" t="s">
        <v>904</v>
      </c>
      <c r="O293" s="32" t="s">
        <v>1</v>
      </c>
      <c r="P293" s="32" t="s">
        <v>1</v>
      </c>
      <c r="Q293" s="269" t="s">
        <v>1</v>
      </c>
      <c r="R293" s="269"/>
      <c r="S293" s="45">
        <v>1</v>
      </c>
    </row>
    <row r="294" spans="1:19" s="41" customFormat="1" ht="45" customHeight="1">
      <c r="A294" s="44">
        <f t="shared" si="4"/>
        <v>289</v>
      </c>
      <c r="B294" s="82" t="s">
        <v>955</v>
      </c>
      <c r="C294" s="31" t="s">
        <v>1</v>
      </c>
      <c r="D294" s="31" t="s">
        <v>782</v>
      </c>
      <c r="E294" s="31" t="s">
        <v>919</v>
      </c>
      <c r="F294" s="32" t="s">
        <v>1</v>
      </c>
      <c r="G294" s="32" t="s">
        <v>1</v>
      </c>
      <c r="H294" s="42" t="s">
        <v>1</v>
      </c>
      <c r="I294" s="42" t="s">
        <v>1</v>
      </c>
      <c r="J294" s="34" t="s">
        <v>1</v>
      </c>
      <c r="K294" s="34" t="s">
        <v>404</v>
      </c>
      <c r="L294" s="43">
        <v>1</v>
      </c>
      <c r="M294" s="34" t="s">
        <v>65</v>
      </c>
      <c r="N294" s="32" t="s">
        <v>1</v>
      </c>
      <c r="O294" s="32" t="s">
        <v>407</v>
      </c>
      <c r="P294" s="32" t="s">
        <v>406</v>
      </c>
      <c r="Q294" s="269" t="s">
        <v>405</v>
      </c>
      <c r="R294" s="269"/>
      <c r="S294" s="45">
        <v>1</v>
      </c>
    </row>
    <row r="295" spans="1:19" s="41" customFormat="1" ht="45" customHeight="1">
      <c r="A295" s="44">
        <f t="shared" si="4"/>
        <v>290</v>
      </c>
      <c r="B295" s="82" t="s">
        <v>1011</v>
      </c>
      <c r="C295" s="31" t="s">
        <v>1</v>
      </c>
      <c r="D295" s="31" t="s">
        <v>1012</v>
      </c>
      <c r="E295" s="31" t="s">
        <v>66</v>
      </c>
      <c r="F295" s="32" t="s">
        <v>29</v>
      </c>
      <c r="G295" s="32" t="s">
        <v>48</v>
      </c>
      <c r="H295" s="33" t="s">
        <v>324</v>
      </c>
      <c r="I295" s="33" t="s">
        <v>325</v>
      </c>
      <c r="J295" s="34" t="s">
        <v>421</v>
      </c>
      <c r="K295" s="34" t="s">
        <v>420</v>
      </c>
      <c r="L295" s="35">
        <v>1</v>
      </c>
      <c r="M295" s="34" t="s">
        <v>65</v>
      </c>
      <c r="N295" s="32" t="s">
        <v>904</v>
      </c>
      <c r="O295" s="32" t="s">
        <v>1</v>
      </c>
      <c r="P295" s="32" t="s">
        <v>889</v>
      </c>
      <c r="Q295" s="269" t="s">
        <v>1</v>
      </c>
      <c r="R295" s="269"/>
      <c r="S295" s="45">
        <v>1</v>
      </c>
    </row>
    <row r="296" spans="1:19" s="41" customFormat="1" ht="45" customHeight="1">
      <c r="A296" s="44">
        <f t="shared" si="4"/>
        <v>291</v>
      </c>
      <c r="B296" s="82" t="s">
        <v>1013</v>
      </c>
      <c r="C296" s="31" t="s">
        <v>1</v>
      </c>
      <c r="D296" s="31" t="s">
        <v>1012</v>
      </c>
      <c r="E296" s="31" t="s">
        <v>328</v>
      </c>
      <c r="F296" s="32" t="s">
        <v>88</v>
      </c>
      <c r="G296" s="32" t="s">
        <v>89</v>
      </c>
      <c r="H296" s="33" t="s">
        <v>113</v>
      </c>
      <c r="I296" s="33" t="s">
        <v>250</v>
      </c>
      <c r="J296" s="34" t="s">
        <v>425</v>
      </c>
      <c r="K296" s="34" t="s">
        <v>426</v>
      </c>
      <c r="L296" s="35">
        <v>1</v>
      </c>
      <c r="M296" s="34" t="s">
        <v>65</v>
      </c>
      <c r="N296" s="32" t="s">
        <v>904</v>
      </c>
      <c r="O296" s="32" t="s">
        <v>1</v>
      </c>
      <c r="P296" s="32" t="s">
        <v>892</v>
      </c>
      <c r="Q296" s="269" t="s">
        <v>1</v>
      </c>
      <c r="R296" s="269"/>
      <c r="S296" s="45">
        <v>1</v>
      </c>
    </row>
    <row r="297" spans="1:19" s="41" customFormat="1" ht="45" customHeight="1">
      <c r="A297" s="44">
        <f t="shared" si="4"/>
        <v>292</v>
      </c>
      <c r="B297" s="82" t="s">
        <v>777</v>
      </c>
      <c r="C297" s="31" t="s">
        <v>1</v>
      </c>
      <c r="D297" s="31" t="s">
        <v>778</v>
      </c>
      <c r="E297" s="31" t="s">
        <v>380</v>
      </c>
      <c r="F297" s="32" t="s">
        <v>49</v>
      </c>
      <c r="G297" s="32" t="s">
        <v>48</v>
      </c>
      <c r="H297" s="33" t="s">
        <v>1</v>
      </c>
      <c r="I297" s="33" t="s">
        <v>1</v>
      </c>
      <c r="J297" s="34" t="s">
        <v>418</v>
      </c>
      <c r="K297" s="34" t="s">
        <v>419</v>
      </c>
      <c r="L297" s="35">
        <v>1</v>
      </c>
      <c r="M297" s="34" t="s">
        <v>65</v>
      </c>
      <c r="N297" s="32" t="s">
        <v>906</v>
      </c>
      <c r="O297" s="32" t="s">
        <v>1</v>
      </c>
      <c r="P297" s="32" t="s">
        <v>888</v>
      </c>
      <c r="Q297" s="269" t="s">
        <v>1</v>
      </c>
      <c r="R297" s="269"/>
      <c r="S297" s="45">
        <v>1</v>
      </c>
    </row>
    <row r="298" spans="1:19" s="41" customFormat="1" ht="39" customHeight="1">
      <c r="A298" s="44">
        <f t="shared" si="4"/>
        <v>293</v>
      </c>
      <c r="B298" s="88" t="s">
        <v>1256</v>
      </c>
      <c r="C298" s="37" t="s">
        <v>1</v>
      </c>
      <c r="D298" s="37" t="s">
        <v>1257</v>
      </c>
      <c r="E298" s="37" t="s">
        <v>1251</v>
      </c>
      <c r="F298" s="38" t="s">
        <v>31</v>
      </c>
      <c r="G298" s="38" t="s">
        <v>83</v>
      </c>
      <c r="H298" s="57" t="s">
        <v>1</v>
      </c>
      <c r="I298" s="57" t="s">
        <v>1</v>
      </c>
      <c r="J298" s="58" t="s">
        <v>93</v>
      </c>
      <c r="K298" s="58" t="s">
        <v>447</v>
      </c>
      <c r="L298" s="59">
        <v>1</v>
      </c>
      <c r="M298" s="58" t="s">
        <v>65</v>
      </c>
      <c r="N298" s="38" t="s">
        <v>903</v>
      </c>
      <c r="O298" s="38" t="s">
        <v>1</v>
      </c>
      <c r="P298" s="38" t="s">
        <v>895</v>
      </c>
      <c r="Q298" s="274" t="s">
        <v>1</v>
      </c>
      <c r="R298" s="274"/>
      <c r="S298" s="49">
        <v>1</v>
      </c>
    </row>
    <row r="299" spans="1:19" s="41" customFormat="1" ht="39" customHeight="1">
      <c r="A299" s="44">
        <f t="shared" si="4"/>
        <v>294</v>
      </c>
      <c r="B299" s="82" t="s">
        <v>1258</v>
      </c>
      <c r="C299" s="31" t="s">
        <v>1</v>
      </c>
      <c r="D299" s="31" t="s">
        <v>1257</v>
      </c>
      <c r="E299" s="31" t="s">
        <v>1252</v>
      </c>
      <c r="F299" s="32" t="s">
        <v>50</v>
      </c>
      <c r="G299" s="32" t="s">
        <v>48</v>
      </c>
      <c r="H299" s="33" t="s">
        <v>1</v>
      </c>
      <c r="I299" s="33" t="s">
        <v>1</v>
      </c>
      <c r="J299" s="34" t="s">
        <v>1253</v>
      </c>
      <c r="K299" s="34" t="s">
        <v>1254</v>
      </c>
      <c r="L299" s="35">
        <v>1</v>
      </c>
      <c r="M299" s="34" t="s">
        <v>65</v>
      </c>
      <c r="N299" s="32" t="s">
        <v>903</v>
      </c>
      <c r="O299" s="32" t="s">
        <v>1</v>
      </c>
      <c r="P299" s="32" t="s">
        <v>901</v>
      </c>
      <c r="Q299" s="269" t="s">
        <v>1</v>
      </c>
      <c r="R299" s="269"/>
      <c r="S299" s="45">
        <v>1</v>
      </c>
    </row>
    <row r="300" spans="1:19" s="97" customFormat="1" ht="39" customHeight="1">
      <c r="A300" s="44">
        <f t="shared" si="4"/>
        <v>295</v>
      </c>
      <c r="B300" s="91" t="s">
        <v>1272</v>
      </c>
      <c r="C300" s="91" t="s">
        <v>1</v>
      </c>
      <c r="D300" s="91" t="s">
        <v>1274</v>
      </c>
      <c r="E300" s="91" t="s">
        <v>1251</v>
      </c>
      <c r="F300" s="92" t="s">
        <v>31</v>
      </c>
      <c r="G300" s="92" t="s">
        <v>83</v>
      </c>
      <c r="H300" s="93" t="s">
        <v>1</v>
      </c>
      <c r="I300" s="93" t="s">
        <v>1</v>
      </c>
      <c r="J300" s="94" t="s">
        <v>93</v>
      </c>
      <c r="K300" s="94" t="s">
        <v>447</v>
      </c>
      <c r="L300" s="95">
        <v>1</v>
      </c>
      <c r="M300" s="94" t="s">
        <v>65</v>
      </c>
      <c r="N300" s="92" t="s">
        <v>903</v>
      </c>
      <c r="O300" s="92" t="s">
        <v>1</v>
      </c>
      <c r="P300" s="92" t="s">
        <v>895</v>
      </c>
      <c r="Q300" s="288" t="s">
        <v>1</v>
      </c>
      <c r="R300" s="289"/>
      <c r="S300" s="96">
        <v>3</v>
      </c>
    </row>
    <row r="301" spans="1:19" s="97" customFormat="1" ht="39" customHeight="1">
      <c r="A301" s="44">
        <f t="shared" si="4"/>
        <v>296</v>
      </c>
      <c r="B301" s="91" t="s">
        <v>1273</v>
      </c>
      <c r="C301" s="91" t="s">
        <v>1</v>
      </c>
      <c r="D301" s="91" t="s">
        <v>1274</v>
      </c>
      <c r="E301" s="91" t="s">
        <v>1252</v>
      </c>
      <c r="F301" s="92" t="s">
        <v>50</v>
      </c>
      <c r="G301" s="92" t="s">
        <v>48</v>
      </c>
      <c r="H301" s="93" t="s">
        <v>1</v>
      </c>
      <c r="I301" s="93" t="s">
        <v>1</v>
      </c>
      <c r="J301" s="94" t="s">
        <v>1253</v>
      </c>
      <c r="K301" s="94" t="s">
        <v>1254</v>
      </c>
      <c r="L301" s="95">
        <v>1</v>
      </c>
      <c r="M301" s="94" t="s">
        <v>65</v>
      </c>
      <c r="N301" s="92" t="s">
        <v>903</v>
      </c>
      <c r="O301" s="92" t="s">
        <v>1</v>
      </c>
      <c r="P301" s="92" t="s">
        <v>901</v>
      </c>
      <c r="Q301" s="288" t="s">
        <v>1</v>
      </c>
      <c r="R301" s="289"/>
      <c r="S301" s="96">
        <v>3</v>
      </c>
    </row>
    <row r="302" spans="1:19" s="114" customFormat="1" ht="39" customHeight="1">
      <c r="A302" s="44">
        <f t="shared" si="4"/>
        <v>297</v>
      </c>
      <c r="B302" s="110" t="s">
        <v>1283</v>
      </c>
      <c r="C302" s="110" t="s">
        <v>1</v>
      </c>
      <c r="D302" s="110" t="s">
        <v>1285</v>
      </c>
      <c r="E302" s="110" t="s">
        <v>1251</v>
      </c>
      <c r="F302" s="108" t="s">
        <v>31</v>
      </c>
      <c r="G302" s="108" t="s">
        <v>83</v>
      </c>
      <c r="H302" s="111" t="s">
        <v>1</v>
      </c>
      <c r="I302" s="111" t="s">
        <v>1</v>
      </c>
      <c r="J302" s="106" t="s">
        <v>93</v>
      </c>
      <c r="K302" s="106" t="s">
        <v>447</v>
      </c>
      <c r="L302" s="107">
        <v>1</v>
      </c>
      <c r="M302" s="106" t="s">
        <v>65</v>
      </c>
      <c r="N302" s="108" t="s">
        <v>903</v>
      </c>
      <c r="O302" s="108" t="s">
        <v>1</v>
      </c>
      <c r="P302" s="108" t="s">
        <v>895</v>
      </c>
      <c r="Q302" s="285" t="s">
        <v>1</v>
      </c>
      <c r="R302" s="285"/>
      <c r="S302" s="109">
        <v>4</v>
      </c>
    </row>
    <row r="303" spans="1:19" s="114" customFormat="1" ht="39" customHeight="1" thickBot="1">
      <c r="A303" s="44">
        <f t="shared" si="4"/>
        <v>298</v>
      </c>
      <c r="B303" s="122" t="s">
        <v>1284</v>
      </c>
      <c r="C303" s="122" t="s">
        <v>1</v>
      </c>
      <c r="D303" s="122" t="s">
        <v>1286</v>
      </c>
      <c r="E303" s="122" t="s">
        <v>1252</v>
      </c>
      <c r="F303" s="123" t="s">
        <v>50</v>
      </c>
      <c r="G303" s="123" t="s">
        <v>48</v>
      </c>
      <c r="H303" s="124" t="s">
        <v>1</v>
      </c>
      <c r="I303" s="124" t="s">
        <v>1</v>
      </c>
      <c r="J303" s="125" t="s">
        <v>1253</v>
      </c>
      <c r="K303" s="125" t="s">
        <v>1254</v>
      </c>
      <c r="L303" s="126">
        <v>1</v>
      </c>
      <c r="M303" s="125" t="s">
        <v>65</v>
      </c>
      <c r="N303" s="123" t="s">
        <v>903</v>
      </c>
      <c r="O303" s="123" t="s">
        <v>1</v>
      </c>
      <c r="P303" s="123" t="s">
        <v>901</v>
      </c>
      <c r="Q303" s="290" t="s">
        <v>1</v>
      </c>
      <c r="R303" s="290"/>
      <c r="S303" s="127">
        <v>4</v>
      </c>
    </row>
  </sheetData>
  <autoFilter ref="A5:S297" xr:uid="{F196F394-8ED2-4A27-9E7B-EBACB6FE76B2}">
    <filterColumn colId="16" showButton="0"/>
  </autoFilter>
  <sortState xmlns:xlrd2="http://schemas.microsoft.com/office/spreadsheetml/2017/richdata2" ref="A6:S297">
    <sortCondition ref="B6:B297"/>
  </sortState>
  <mergeCells count="402">
    <mergeCell ref="Q298:R298"/>
    <mergeCell ref="Q299:R299"/>
    <mergeCell ref="Q300:R300"/>
    <mergeCell ref="Q301:R301"/>
    <mergeCell ref="Q302:R302"/>
    <mergeCell ref="Q303:R303"/>
    <mergeCell ref="Q280:R280"/>
    <mergeCell ref="Q282:R282"/>
    <mergeCell ref="Q284:R284"/>
    <mergeCell ref="Q286:R286"/>
    <mergeCell ref="Q225:R225"/>
    <mergeCell ref="Q231:R231"/>
    <mergeCell ref="Q232:R232"/>
    <mergeCell ref="Q233:R233"/>
    <mergeCell ref="Q234:R234"/>
    <mergeCell ref="Q237:R237"/>
    <mergeCell ref="Q238:R238"/>
    <mergeCell ref="Q236:R236"/>
    <mergeCell ref="Q235:R235"/>
    <mergeCell ref="Q226:R226"/>
    <mergeCell ref="Q292:R292"/>
    <mergeCell ref="Q279:R279"/>
    <mergeCell ref="Q281:R281"/>
    <mergeCell ref="Q291:R291"/>
    <mergeCell ref="Q287:R287"/>
    <mergeCell ref="Q278:R278"/>
    <mergeCell ref="Q275:R275"/>
    <mergeCell ref="Q274:R274"/>
    <mergeCell ref="Q239:R239"/>
    <mergeCell ref="Q240:R240"/>
    <mergeCell ref="Q241:R241"/>
    <mergeCell ref="Q242:R242"/>
    <mergeCell ref="Q244:R244"/>
    <mergeCell ref="Q245:R245"/>
    <mergeCell ref="Q243:R243"/>
    <mergeCell ref="Q249:R249"/>
    <mergeCell ref="Q250:R250"/>
    <mergeCell ref="Q246:R246"/>
    <mergeCell ref="Q247:R247"/>
    <mergeCell ref="Q248:R248"/>
    <mergeCell ref="Q251:R251"/>
    <mergeCell ref="Q288:R288"/>
    <mergeCell ref="Q289:R289"/>
    <mergeCell ref="Q290:R290"/>
    <mergeCell ref="Q224:R224"/>
    <mergeCell ref="Q227:R227"/>
    <mergeCell ref="Q219:R219"/>
    <mergeCell ref="Q220:R220"/>
    <mergeCell ref="Q221:R221"/>
    <mergeCell ref="Q202:R202"/>
    <mergeCell ref="Q203:R203"/>
    <mergeCell ref="Q204:R204"/>
    <mergeCell ref="Q205:R205"/>
    <mergeCell ref="Q206:R206"/>
    <mergeCell ref="Q207:R207"/>
    <mergeCell ref="Q208:R208"/>
    <mergeCell ref="Q209:R209"/>
    <mergeCell ref="Q210:R210"/>
    <mergeCell ref="Q211:R211"/>
    <mergeCell ref="Q217:R217"/>
    <mergeCell ref="Q218:R218"/>
    <mergeCell ref="Q222:R222"/>
    <mergeCell ref="Q223:R223"/>
    <mergeCell ref="Q212:R212"/>
    <mergeCell ref="Q213:R213"/>
    <mergeCell ref="Q214:R214"/>
    <mergeCell ref="Q215:R215"/>
    <mergeCell ref="Q216:R216"/>
    <mergeCell ref="Q197:R197"/>
    <mergeCell ref="Q198:R198"/>
    <mergeCell ref="Q199:R199"/>
    <mergeCell ref="Q200:R200"/>
    <mergeCell ref="Q201:R201"/>
    <mergeCell ref="Q196:R196"/>
    <mergeCell ref="Q187:R187"/>
    <mergeCell ref="Q188:R188"/>
    <mergeCell ref="Q190:R190"/>
    <mergeCell ref="Q191:R191"/>
    <mergeCell ref="Q189:R189"/>
    <mergeCell ref="Q192:R192"/>
    <mergeCell ref="Q182:R182"/>
    <mergeCell ref="Q183:R183"/>
    <mergeCell ref="Q184:R184"/>
    <mergeCell ref="Q185:R185"/>
    <mergeCell ref="Q186:R186"/>
    <mergeCell ref="Q177:R177"/>
    <mergeCell ref="Q178:R178"/>
    <mergeCell ref="Q179:R179"/>
    <mergeCell ref="Q180:R180"/>
    <mergeCell ref="Q181:R181"/>
    <mergeCell ref="Q164:R164"/>
    <mergeCell ref="Q165:R165"/>
    <mergeCell ref="Q167:R167"/>
    <mergeCell ref="Q166:R166"/>
    <mergeCell ref="Q172:R172"/>
    <mergeCell ref="Q173:R173"/>
    <mergeCell ref="Q174:R174"/>
    <mergeCell ref="Q175:R175"/>
    <mergeCell ref="Q176:R176"/>
    <mergeCell ref="Q168:R168"/>
    <mergeCell ref="Q169:R169"/>
    <mergeCell ref="Q170:R170"/>
    <mergeCell ref="Q171:R171"/>
    <mergeCell ref="Q99:R99"/>
    <mergeCell ref="Q79:R79"/>
    <mergeCell ref="Q80:R80"/>
    <mergeCell ref="Q91:R91"/>
    <mergeCell ref="Q93:R93"/>
    <mergeCell ref="Q94:R94"/>
    <mergeCell ref="Q92:R92"/>
    <mergeCell ref="Q76:R76"/>
    <mergeCell ref="Q77:R77"/>
    <mergeCell ref="Q83:R83"/>
    <mergeCell ref="Q84:R84"/>
    <mergeCell ref="Q85:R85"/>
    <mergeCell ref="Q86:R86"/>
    <mergeCell ref="Q87:R87"/>
    <mergeCell ref="Q88:R88"/>
    <mergeCell ref="Q89:R89"/>
    <mergeCell ref="Q90:R90"/>
    <mergeCell ref="Q74:R74"/>
    <mergeCell ref="Q75:R75"/>
    <mergeCell ref="Q61:R61"/>
    <mergeCell ref="Q62:R62"/>
    <mergeCell ref="Q95:R95"/>
    <mergeCell ref="Q96:R96"/>
    <mergeCell ref="Q70:R70"/>
    <mergeCell ref="Q97:R97"/>
    <mergeCell ref="Q98:R98"/>
    <mergeCell ref="Q71:R71"/>
    <mergeCell ref="Q72:R72"/>
    <mergeCell ref="Q73:R73"/>
    <mergeCell ref="Q81:R81"/>
    <mergeCell ref="Q82:R82"/>
    <mergeCell ref="Q65:R65"/>
    <mergeCell ref="Q64:R64"/>
    <mergeCell ref="Q78:R78"/>
    <mergeCell ref="Q68:R68"/>
    <mergeCell ref="Q69:R69"/>
    <mergeCell ref="Q63:R63"/>
    <mergeCell ref="Q66:R66"/>
    <mergeCell ref="Q67:R67"/>
    <mergeCell ref="Q5:R5"/>
    <mergeCell ref="Q7:R7"/>
    <mergeCell ref="Q8:R8"/>
    <mergeCell ref="Q10:R10"/>
    <mergeCell ref="Q13:R13"/>
    <mergeCell ref="Q29:R29"/>
    <mergeCell ref="Q36:R36"/>
    <mergeCell ref="Q24:R24"/>
    <mergeCell ref="Q25:R25"/>
    <mergeCell ref="Q26:R26"/>
    <mergeCell ref="Q27:R27"/>
    <mergeCell ref="Q28:R28"/>
    <mergeCell ref="Q12:R12"/>
    <mergeCell ref="Q15:R15"/>
    <mergeCell ref="Q32:R32"/>
    <mergeCell ref="Q35:R35"/>
    <mergeCell ref="Q18:R18"/>
    <mergeCell ref="Q33:R33"/>
    <mergeCell ref="Q20:R20"/>
    <mergeCell ref="Q21:R21"/>
    <mergeCell ref="Q22:R22"/>
    <mergeCell ref="Q30:R30"/>
    <mergeCell ref="Q31:R31"/>
    <mergeCell ref="Q34:R34"/>
    <mergeCell ref="A1:D4"/>
    <mergeCell ref="E1:G4"/>
    <mergeCell ref="H1:H2"/>
    <mergeCell ref="I1:L2"/>
    <mergeCell ref="M1:M2"/>
    <mergeCell ref="N1:P2"/>
    <mergeCell ref="R1:S1"/>
    <mergeCell ref="R2:S2"/>
    <mergeCell ref="H3:H4"/>
    <mergeCell ref="I3:L4"/>
    <mergeCell ref="N3:P3"/>
    <mergeCell ref="N4:P4"/>
    <mergeCell ref="Q162:R162"/>
    <mergeCell ref="Q161:R161"/>
    <mergeCell ref="Q153:R153"/>
    <mergeCell ref="Q156:R156"/>
    <mergeCell ref="Q157:R157"/>
    <mergeCell ref="Q123:R123"/>
    <mergeCell ref="Q140:R140"/>
    <mergeCell ref="Q141:R141"/>
    <mergeCell ref="Q142:R142"/>
    <mergeCell ref="Q143:R143"/>
    <mergeCell ref="Q144:R144"/>
    <mergeCell ref="Q134:R134"/>
    <mergeCell ref="Q135:R135"/>
    <mergeCell ref="Q138:R138"/>
    <mergeCell ref="Q139:R139"/>
    <mergeCell ref="Q136:R136"/>
    <mergeCell ref="Q137:R137"/>
    <mergeCell ref="Q158:R158"/>
    <mergeCell ref="Q154:R154"/>
    <mergeCell ref="Q155:R155"/>
    <mergeCell ref="Q117:R117"/>
    <mergeCell ref="Q116:R116"/>
    <mergeCell ref="Q115:R115"/>
    <mergeCell ref="Q114:R114"/>
    <mergeCell ref="Q110:R111"/>
    <mergeCell ref="Q296:R296"/>
    <mergeCell ref="Q297:R297"/>
    <mergeCell ref="Q127:R127"/>
    <mergeCell ref="Q128:R128"/>
    <mergeCell ref="Q129:R129"/>
    <mergeCell ref="Q130:R130"/>
    <mergeCell ref="Q131:R131"/>
    <mergeCell ref="Q124:R124"/>
    <mergeCell ref="Q126:R126"/>
    <mergeCell ref="Q125:R125"/>
    <mergeCell ref="Q147:R147"/>
    <mergeCell ref="Q149:R149"/>
    <mergeCell ref="Q150:R150"/>
    <mergeCell ref="Q152:R152"/>
    <mergeCell ref="Q148:R148"/>
    <mergeCell ref="Q151:R151"/>
    <mergeCell ref="Q159:R159"/>
    <mergeCell ref="Q160:R160"/>
    <mergeCell ref="Q163:R163"/>
    <mergeCell ref="Q295:R295"/>
    <mergeCell ref="Q294:R294"/>
    <mergeCell ref="Q293:R293"/>
    <mergeCell ref="Q285:R285"/>
    <mergeCell ref="Q283:R283"/>
    <mergeCell ref="Q6:R6"/>
    <mergeCell ref="Q9:R9"/>
    <mergeCell ref="Q11:R11"/>
    <mergeCell ref="Q14:R14"/>
    <mergeCell ref="Q16:R16"/>
    <mergeCell ref="Q17:R17"/>
    <mergeCell ref="Q19:R19"/>
    <mergeCell ref="Q23:R23"/>
    <mergeCell ref="Q103:R103"/>
    <mergeCell ref="Q102:R102"/>
    <mergeCell ref="Q101:R101"/>
    <mergeCell ref="Q100:R100"/>
    <mergeCell ref="Q108:R108"/>
    <mergeCell ref="Q107:R107"/>
    <mergeCell ref="Q106:R106"/>
    <mergeCell ref="Q105:R105"/>
    <mergeCell ref="Q122:R122"/>
    <mergeCell ref="Q119:R119"/>
    <mergeCell ref="Q118:R118"/>
    <mergeCell ref="Q104:R104"/>
    <mergeCell ref="S46:S48"/>
    <mergeCell ref="L53:L55"/>
    <mergeCell ref="M53:M55"/>
    <mergeCell ref="N53:N55"/>
    <mergeCell ref="J120:J121"/>
    <mergeCell ref="K120:K121"/>
    <mergeCell ref="L120:L121"/>
    <mergeCell ref="M120:M121"/>
    <mergeCell ref="N120:N121"/>
    <mergeCell ref="Q120:R121"/>
    <mergeCell ref="O120:O121"/>
    <mergeCell ref="P120:P121"/>
    <mergeCell ref="J46:J48"/>
    <mergeCell ref="K46:K48"/>
    <mergeCell ref="L46:L48"/>
    <mergeCell ref="M46:M48"/>
    <mergeCell ref="N46:N48"/>
    <mergeCell ref="O46:O48"/>
    <mergeCell ref="P46:P48"/>
    <mergeCell ref="Q46:R48"/>
    <mergeCell ref="Q113:R113"/>
    <mergeCell ref="Q112:R112"/>
    <mergeCell ref="Q109:R109"/>
    <mergeCell ref="J110:J111"/>
    <mergeCell ref="K110:K111"/>
    <mergeCell ref="L110:L111"/>
    <mergeCell ref="M110:M111"/>
    <mergeCell ref="N110:N111"/>
    <mergeCell ref="O110:O111"/>
    <mergeCell ref="P110:P111"/>
    <mergeCell ref="L58:L59"/>
    <mergeCell ref="M58:M59"/>
    <mergeCell ref="N58:N59"/>
    <mergeCell ref="K58:K59"/>
    <mergeCell ref="J58:J59"/>
    <mergeCell ref="J132:J133"/>
    <mergeCell ref="K132:K133"/>
    <mergeCell ref="L132:L133"/>
    <mergeCell ref="M132:M133"/>
    <mergeCell ref="N132:N133"/>
    <mergeCell ref="O132:O133"/>
    <mergeCell ref="P132:P133"/>
    <mergeCell ref="Q132:R133"/>
    <mergeCell ref="S132:S133"/>
    <mergeCell ref="J145:J146"/>
    <mergeCell ref="K145:K146"/>
    <mergeCell ref="L145:L146"/>
    <mergeCell ref="M145:M146"/>
    <mergeCell ref="N145:N146"/>
    <mergeCell ref="O145:O146"/>
    <mergeCell ref="P145:P146"/>
    <mergeCell ref="Q145:R146"/>
    <mergeCell ref="S145:S146"/>
    <mergeCell ref="J193:J195"/>
    <mergeCell ref="K193:K195"/>
    <mergeCell ref="L193:L195"/>
    <mergeCell ref="M193:M195"/>
    <mergeCell ref="N193:N195"/>
    <mergeCell ref="O193:O195"/>
    <mergeCell ref="P193:P195"/>
    <mergeCell ref="Q193:R195"/>
    <mergeCell ref="S193:S195"/>
    <mergeCell ref="J228:J230"/>
    <mergeCell ref="K228:K230"/>
    <mergeCell ref="L228:L230"/>
    <mergeCell ref="M228:M230"/>
    <mergeCell ref="N228:N230"/>
    <mergeCell ref="O228:O230"/>
    <mergeCell ref="P228:P230"/>
    <mergeCell ref="Q228:R230"/>
    <mergeCell ref="S228:S230"/>
    <mergeCell ref="J252:J256"/>
    <mergeCell ref="K252:K256"/>
    <mergeCell ref="L252:L256"/>
    <mergeCell ref="M252:M256"/>
    <mergeCell ref="N252:N256"/>
    <mergeCell ref="O252:O256"/>
    <mergeCell ref="P252:P256"/>
    <mergeCell ref="S252:S256"/>
    <mergeCell ref="Q252:R256"/>
    <mergeCell ref="J257:J261"/>
    <mergeCell ref="K257:K261"/>
    <mergeCell ref="L257:L261"/>
    <mergeCell ref="M257:M261"/>
    <mergeCell ref="N257:N261"/>
    <mergeCell ref="O257:O261"/>
    <mergeCell ref="P257:P261"/>
    <mergeCell ref="Q257:R261"/>
    <mergeCell ref="S257:S261"/>
    <mergeCell ref="N267:N271"/>
    <mergeCell ref="O267:O271"/>
    <mergeCell ref="P267:P271"/>
    <mergeCell ref="Q267:R271"/>
    <mergeCell ref="S267:S271"/>
    <mergeCell ref="J262:J266"/>
    <mergeCell ref="K262:K266"/>
    <mergeCell ref="L262:L266"/>
    <mergeCell ref="M262:M266"/>
    <mergeCell ref="N262:N266"/>
    <mergeCell ref="O262:O266"/>
    <mergeCell ref="P262:P266"/>
    <mergeCell ref="Q262:R266"/>
    <mergeCell ref="S262:S266"/>
    <mergeCell ref="S110:S111"/>
    <mergeCell ref="S120:S121"/>
    <mergeCell ref="J276:J277"/>
    <mergeCell ref="K276:K277"/>
    <mergeCell ref="L276:L277"/>
    <mergeCell ref="M276:M277"/>
    <mergeCell ref="N276:N277"/>
    <mergeCell ref="O276:O277"/>
    <mergeCell ref="P276:P277"/>
    <mergeCell ref="Q276:R277"/>
    <mergeCell ref="S276:S277"/>
    <mergeCell ref="J272:J273"/>
    <mergeCell ref="K272:K273"/>
    <mergeCell ref="L272:L273"/>
    <mergeCell ref="M272:M273"/>
    <mergeCell ref="N272:N273"/>
    <mergeCell ref="O272:O273"/>
    <mergeCell ref="P272:P273"/>
    <mergeCell ref="Q272:R273"/>
    <mergeCell ref="S272:S273"/>
    <mergeCell ref="J267:J271"/>
    <mergeCell ref="K267:K271"/>
    <mergeCell ref="L267:L271"/>
    <mergeCell ref="M267:M271"/>
    <mergeCell ref="Q41:R41"/>
    <mergeCell ref="Q37:R37"/>
    <mergeCell ref="Q44:R44"/>
    <mergeCell ref="Q45:R45"/>
    <mergeCell ref="Q60:R60"/>
    <mergeCell ref="Q49:R49"/>
    <mergeCell ref="Q50:R50"/>
    <mergeCell ref="Q51:R51"/>
    <mergeCell ref="Q52:R52"/>
    <mergeCell ref="Q42:R42"/>
    <mergeCell ref="Q38:R38"/>
    <mergeCell ref="Q39:R39"/>
    <mergeCell ref="Q40:R40"/>
    <mergeCell ref="Q43:R43"/>
    <mergeCell ref="J56:J57"/>
    <mergeCell ref="K56:K57"/>
    <mergeCell ref="Q53:R53"/>
    <mergeCell ref="Q54:R54"/>
    <mergeCell ref="Q55:R55"/>
    <mergeCell ref="Q56:R56"/>
    <mergeCell ref="Q57:R57"/>
    <mergeCell ref="Q58:R58"/>
    <mergeCell ref="Q59:R59"/>
    <mergeCell ref="J54:J55"/>
    <mergeCell ref="K54:K55"/>
    <mergeCell ref="L56:L57"/>
    <mergeCell ref="M56:M57"/>
    <mergeCell ref="N56:N57"/>
  </mergeCells>
  <phoneticPr fontId="10" type="noConversion"/>
  <conditionalFormatting sqref="B20:B22">
    <cfRule type="duplicateValues" dxfId="13" priority="8"/>
  </conditionalFormatting>
  <conditionalFormatting sqref="B50:B52">
    <cfRule type="duplicateValues" dxfId="12" priority="9"/>
  </conditionalFormatting>
  <conditionalFormatting sqref="B83:B90">
    <cfRule type="duplicateValues" dxfId="11" priority="1"/>
  </conditionalFormatting>
  <conditionalFormatting sqref="B298:B303">
    <cfRule type="duplicateValues" dxfId="10" priority="2"/>
  </conditionalFormatting>
  <conditionalFormatting sqref="B304:B320 B53:B82 B6:B19 B23:B49 B91:B297">
    <cfRule type="duplicateValues" dxfId="9" priority="63"/>
  </conditionalFormatting>
  <printOptions horizontalCentered="1"/>
  <pageMargins left="0.51181102362204722" right="0.51181102362204722" top="0.39370078740157483" bottom="0.39370078740157483" header="0.31496062992125984" footer="0.31496062992125984"/>
  <pageSetup paperSize="9" scale="25" fitToHeight="0" orientation="landscape" r:id="rId1"/>
  <headerFooter>
    <oddHeader xml:space="preserve">&amp;R&amp;K00+000
&amp;"Arial,Negrito"&amp;12&amp;K000000&amp;P de &amp;K000000&amp;N&amp;"Arial,Normal"&amp;10      &amp;K00+000                                                                                                                                        .     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5672-BEA2-4B2E-88DE-EBAB2E84C7BB}">
  <dimension ref="A1:S100"/>
  <sheetViews>
    <sheetView showGridLines="0" view="pageBreakPreview" zoomScale="70" zoomScaleNormal="55" zoomScaleSheetLayoutView="70" workbookViewId="0">
      <pane ySplit="5" topLeftCell="A6" activePane="bottomLeft" state="frozen"/>
      <selection activeCell="A11" sqref="A11:Q11"/>
      <selection pane="bottomLeft" activeCell="A6" sqref="A6"/>
    </sheetView>
  </sheetViews>
  <sheetFormatPr defaultColWidth="9.140625" defaultRowHeight="12.75"/>
  <cols>
    <col min="1" max="1" width="12.85546875" customWidth="1"/>
    <col min="2" max="2" width="20.5703125" style="41" customWidth="1"/>
    <col min="3" max="3" width="24.7109375" customWidth="1"/>
    <col min="4" max="4" width="57.42578125" customWidth="1"/>
    <col min="5" max="5" width="43.28515625" customWidth="1"/>
    <col min="6" max="6" width="34.7109375" style="21" customWidth="1"/>
    <col min="7" max="7" width="20" customWidth="1"/>
    <col min="8" max="9" width="17.7109375" customWidth="1"/>
    <col min="10" max="10" width="26.28515625" customWidth="1"/>
    <col min="11" max="11" width="46.140625" customWidth="1"/>
    <col min="12" max="12" width="9.42578125" customWidth="1"/>
    <col min="13" max="14" width="27.85546875" customWidth="1"/>
    <col min="15" max="15" width="36" customWidth="1"/>
    <col min="16" max="16" width="27.85546875" customWidth="1"/>
    <col min="17" max="17" width="23.140625" customWidth="1"/>
    <col min="18" max="18" width="48.28515625" customWidth="1"/>
    <col min="19" max="19" width="15" customWidth="1"/>
    <col min="54" max="54" width="20.5703125" customWidth="1"/>
  </cols>
  <sheetData>
    <row r="1" spans="1:19" ht="30.75" customHeight="1" thickBot="1">
      <c r="A1" s="232"/>
      <c r="B1" s="233"/>
      <c r="C1" s="233"/>
      <c r="D1" s="233"/>
      <c r="E1" s="233"/>
      <c r="F1" s="233"/>
      <c r="G1" s="233"/>
      <c r="H1" s="238" t="s">
        <v>53</v>
      </c>
      <c r="I1" s="240" t="str">
        <f>CAPA!G27</f>
        <v>VOTORANTIM CIMENTOS 
FÁBRICA DE EDEALINA - GO</v>
      </c>
      <c r="J1" s="240"/>
      <c r="K1" s="240"/>
      <c r="L1" s="241"/>
      <c r="M1" s="238" t="s">
        <v>55</v>
      </c>
      <c r="N1" s="244" t="str">
        <f>CAPA!A31</f>
        <v>FÁBRICA DE EDEALINA - GO
PROJETO DETALHADO - MOAGEM DE CIMENTO Z2</v>
      </c>
      <c r="O1" s="245"/>
      <c r="P1" s="246"/>
      <c r="Q1" s="14" t="s">
        <v>58</v>
      </c>
      <c r="R1" s="249" t="s">
        <v>61</v>
      </c>
      <c r="S1" s="250"/>
    </row>
    <row r="2" spans="1:19" ht="30.75" customHeight="1" thickBot="1">
      <c r="A2" s="234"/>
      <c r="B2" s="235"/>
      <c r="C2" s="235"/>
      <c r="D2" s="235"/>
      <c r="E2" s="235"/>
      <c r="F2" s="235"/>
      <c r="G2" s="235"/>
      <c r="H2" s="239"/>
      <c r="I2" s="242"/>
      <c r="J2" s="242"/>
      <c r="K2" s="242"/>
      <c r="L2" s="243"/>
      <c r="M2" s="239"/>
      <c r="N2" s="247"/>
      <c r="O2" s="247"/>
      <c r="P2" s="248"/>
      <c r="Q2" s="15" t="s">
        <v>78</v>
      </c>
      <c r="R2" s="251" t="s">
        <v>26</v>
      </c>
      <c r="S2" s="252"/>
    </row>
    <row r="3" spans="1:19" ht="30.75" customHeight="1" thickBot="1">
      <c r="A3" s="234"/>
      <c r="B3" s="235"/>
      <c r="C3" s="235"/>
      <c r="D3" s="235"/>
      <c r="E3" s="235"/>
      <c r="F3" s="235"/>
      <c r="G3" s="235"/>
      <c r="H3" s="253" t="s">
        <v>54</v>
      </c>
      <c r="I3" s="255" t="s">
        <v>77</v>
      </c>
      <c r="J3" s="256"/>
      <c r="K3" s="256"/>
      <c r="L3" s="257"/>
      <c r="M3" s="16" t="s">
        <v>57</v>
      </c>
      <c r="N3" s="260" t="str">
        <f>CAPA!J38</f>
        <v>ED-I-Z2000-120</v>
      </c>
      <c r="O3" s="260"/>
      <c r="P3" s="261"/>
      <c r="Q3" s="17" t="s">
        <v>59</v>
      </c>
      <c r="R3" s="16" t="s">
        <v>2</v>
      </c>
      <c r="S3" s="18">
        <f>CAPA!Q24</f>
        <v>5</v>
      </c>
    </row>
    <row r="4" spans="1:19" ht="30.75" customHeight="1" thickBot="1">
      <c r="A4" s="278"/>
      <c r="B4" s="279"/>
      <c r="C4" s="279"/>
      <c r="D4" s="279"/>
      <c r="E4" s="279"/>
      <c r="F4" s="279"/>
      <c r="G4" s="279"/>
      <c r="H4" s="281"/>
      <c r="I4" s="282"/>
      <c r="J4" s="282"/>
      <c r="K4" s="282"/>
      <c r="L4" s="283"/>
      <c r="M4" s="20" t="s">
        <v>56</v>
      </c>
      <c r="N4" s="256" t="str">
        <f>CAPA!K19</f>
        <v>LI-A-20V093E-001</v>
      </c>
      <c r="O4" s="256"/>
      <c r="P4" s="257"/>
      <c r="Q4" s="19"/>
      <c r="R4" s="20" t="s">
        <v>60</v>
      </c>
      <c r="S4" s="25">
        <f>CAPA!K24</f>
        <v>45946</v>
      </c>
    </row>
    <row r="5" spans="1:19" ht="30.75" customHeight="1" thickBot="1">
      <c r="A5" s="130" t="s">
        <v>36</v>
      </c>
      <c r="B5" s="90" t="s">
        <v>130</v>
      </c>
      <c r="C5" s="22" t="s">
        <v>131</v>
      </c>
      <c r="D5" s="23" t="s">
        <v>35</v>
      </c>
      <c r="E5" s="22" t="s">
        <v>37</v>
      </c>
      <c r="F5" s="22" t="s">
        <v>38</v>
      </c>
      <c r="G5" s="22" t="s">
        <v>39</v>
      </c>
      <c r="H5" s="22" t="s">
        <v>112</v>
      </c>
      <c r="I5" s="22" t="s">
        <v>40</v>
      </c>
      <c r="J5" s="23" t="s">
        <v>41</v>
      </c>
      <c r="K5" s="23" t="s">
        <v>42</v>
      </c>
      <c r="L5" s="22" t="s">
        <v>43</v>
      </c>
      <c r="M5" s="22" t="s">
        <v>44</v>
      </c>
      <c r="N5" s="22" t="s">
        <v>381</v>
      </c>
      <c r="O5" s="22" t="s">
        <v>47</v>
      </c>
      <c r="P5" s="22" t="s">
        <v>45</v>
      </c>
      <c r="Q5" s="299" t="s">
        <v>46</v>
      </c>
      <c r="R5" s="299"/>
      <c r="S5" s="48" t="s">
        <v>0</v>
      </c>
    </row>
    <row r="6" spans="1:19" s="41" customFormat="1" ht="45" customHeight="1">
      <c r="A6" s="131">
        <v>1</v>
      </c>
      <c r="B6" s="70" t="s">
        <v>854</v>
      </c>
      <c r="C6" s="71" t="s">
        <v>272</v>
      </c>
      <c r="D6" s="37" t="s">
        <v>853</v>
      </c>
      <c r="E6" s="71" t="s">
        <v>123</v>
      </c>
      <c r="F6" s="72" t="s">
        <v>27</v>
      </c>
      <c r="G6" s="72" t="s">
        <v>48</v>
      </c>
      <c r="H6" s="73" t="s">
        <v>1</v>
      </c>
      <c r="I6" s="73" t="s">
        <v>1</v>
      </c>
      <c r="J6" s="34" t="s">
        <v>1096</v>
      </c>
      <c r="K6" s="34" t="s">
        <v>1129</v>
      </c>
      <c r="L6" s="74">
        <v>1</v>
      </c>
      <c r="M6" s="75" t="s">
        <v>52</v>
      </c>
      <c r="N6" s="32" t="s">
        <v>910</v>
      </c>
      <c r="O6" s="76" t="s">
        <v>1</v>
      </c>
      <c r="P6" s="72" t="s">
        <v>1</v>
      </c>
      <c r="Q6" s="266" t="s">
        <v>1</v>
      </c>
      <c r="R6" s="267"/>
      <c r="S6" s="45">
        <v>1</v>
      </c>
    </row>
    <row r="7" spans="1:19" s="41" customFormat="1" ht="45" customHeight="1">
      <c r="A7" s="132">
        <f>A6+1</f>
        <v>2</v>
      </c>
      <c r="B7" s="31" t="s">
        <v>855</v>
      </c>
      <c r="C7" s="77" t="s">
        <v>852</v>
      </c>
      <c r="D7" s="31" t="s">
        <v>853</v>
      </c>
      <c r="E7" s="31" t="s">
        <v>67</v>
      </c>
      <c r="F7" s="32" t="s">
        <v>68</v>
      </c>
      <c r="G7" s="32" t="s">
        <v>48</v>
      </c>
      <c r="H7" s="42" t="s">
        <v>1</v>
      </c>
      <c r="I7" s="42" t="s">
        <v>1</v>
      </c>
      <c r="J7" s="34" t="s">
        <v>1127</v>
      </c>
      <c r="K7" s="34" t="s">
        <v>1131</v>
      </c>
      <c r="L7" s="43">
        <v>1</v>
      </c>
      <c r="M7" s="34" t="s">
        <v>52</v>
      </c>
      <c r="N7" s="38" t="s">
        <v>910</v>
      </c>
      <c r="O7" s="32" t="s">
        <v>1</v>
      </c>
      <c r="P7" s="32" t="s">
        <v>1</v>
      </c>
      <c r="Q7" s="228" t="s">
        <v>1250</v>
      </c>
      <c r="R7" s="229"/>
      <c r="S7" s="45">
        <v>1</v>
      </c>
    </row>
    <row r="8" spans="1:19" s="41" customFormat="1" ht="45" customHeight="1">
      <c r="A8" s="132">
        <f t="shared" ref="A8:A14" si="0">A7+1</f>
        <v>3</v>
      </c>
      <c r="B8" s="31" t="s">
        <v>1188</v>
      </c>
      <c r="C8" s="31" t="s">
        <v>1189</v>
      </c>
      <c r="D8" s="31" t="s">
        <v>1190</v>
      </c>
      <c r="E8" s="31" t="s">
        <v>288</v>
      </c>
      <c r="F8" s="32" t="s">
        <v>252</v>
      </c>
      <c r="G8" s="32" t="s">
        <v>1177</v>
      </c>
      <c r="H8" s="42"/>
      <c r="I8" s="42"/>
      <c r="J8" s="34" t="s">
        <v>1059</v>
      </c>
      <c r="K8" s="34" t="s">
        <v>1178</v>
      </c>
      <c r="L8" s="43">
        <v>1</v>
      </c>
      <c r="M8" s="34" t="s">
        <v>52</v>
      </c>
      <c r="N8" s="38" t="s">
        <v>910</v>
      </c>
      <c r="O8" s="32" t="s">
        <v>1</v>
      </c>
      <c r="P8" s="32" t="s">
        <v>1</v>
      </c>
      <c r="Q8" s="228" t="s">
        <v>1</v>
      </c>
      <c r="R8" s="229"/>
      <c r="S8" s="45">
        <v>1</v>
      </c>
    </row>
    <row r="9" spans="1:19" s="41" customFormat="1" ht="45" customHeight="1">
      <c r="A9" s="132">
        <f t="shared" si="0"/>
        <v>4</v>
      </c>
      <c r="B9" s="31" t="s">
        <v>1191</v>
      </c>
      <c r="C9" s="31" t="s">
        <v>1192</v>
      </c>
      <c r="D9" s="31" t="s">
        <v>1190</v>
      </c>
      <c r="E9" s="31" t="s">
        <v>66</v>
      </c>
      <c r="F9" s="31" t="s">
        <v>29</v>
      </c>
      <c r="G9" s="32" t="s">
        <v>1181</v>
      </c>
      <c r="H9" s="42"/>
      <c r="I9" s="42"/>
      <c r="J9" s="34" t="s">
        <v>1092</v>
      </c>
      <c r="K9" s="34" t="s">
        <v>1106</v>
      </c>
      <c r="L9" s="43">
        <v>1</v>
      </c>
      <c r="M9" s="34" t="s">
        <v>52</v>
      </c>
      <c r="N9" s="38" t="s">
        <v>910</v>
      </c>
      <c r="O9" s="32" t="s">
        <v>1</v>
      </c>
      <c r="P9" s="32" t="s">
        <v>1</v>
      </c>
      <c r="Q9" s="228" t="s">
        <v>1</v>
      </c>
      <c r="R9" s="229"/>
      <c r="S9" s="45">
        <v>1</v>
      </c>
    </row>
    <row r="10" spans="1:19" s="41" customFormat="1" ht="43.5" customHeight="1">
      <c r="A10" s="132">
        <f t="shared" si="0"/>
        <v>5</v>
      </c>
      <c r="B10" s="31" t="s">
        <v>992</v>
      </c>
      <c r="C10" s="31" t="s">
        <v>1</v>
      </c>
      <c r="D10" s="31" t="s">
        <v>986</v>
      </c>
      <c r="E10" s="31" t="s">
        <v>919</v>
      </c>
      <c r="F10" s="32" t="s">
        <v>1</v>
      </c>
      <c r="G10" s="32" t="s">
        <v>1</v>
      </c>
      <c r="H10" s="42" t="s">
        <v>1</v>
      </c>
      <c r="I10" s="42" t="s">
        <v>1</v>
      </c>
      <c r="J10" s="34" t="s">
        <v>1</v>
      </c>
      <c r="K10" s="34" t="s">
        <v>404</v>
      </c>
      <c r="L10" s="43">
        <v>1</v>
      </c>
      <c r="M10" s="34" t="s">
        <v>65</v>
      </c>
      <c r="N10" s="32" t="s">
        <v>1</v>
      </c>
      <c r="O10" s="32" t="s">
        <v>407</v>
      </c>
      <c r="P10" s="32" t="s">
        <v>406</v>
      </c>
      <c r="Q10" s="228" t="s">
        <v>405</v>
      </c>
      <c r="R10" s="229"/>
      <c r="S10" s="45">
        <v>1</v>
      </c>
    </row>
    <row r="11" spans="1:19" s="41" customFormat="1" ht="45" customHeight="1">
      <c r="A11" s="132">
        <f t="shared" si="0"/>
        <v>6</v>
      </c>
      <c r="B11" s="31" t="s">
        <v>991</v>
      </c>
      <c r="C11" s="31" t="s">
        <v>851</v>
      </c>
      <c r="D11" s="31" t="s">
        <v>986</v>
      </c>
      <c r="E11" s="31" t="s">
        <v>64</v>
      </c>
      <c r="F11" s="32" t="s">
        <v>49</v>
      </c>
      <c r="G11" s="32" t="s">
        <v>48</v>
      </c>
      <c r="H11" s="42" t="s">
        <v>1</v>
      </c>
      <c r="I11" s="42" t="s">
        <v>1</v>
      </c>
      <c r="J11" s="34" t="s">
        <v>1096</v>
      </c>
      <c r="K11" s="34" t="s">
        <v>1130</v>
      </c>
      <c r="L11" s="43">
        <v>1</v>
      </c>
      <c r="M11" s="34" t="s">
        <v>52</v>
      </c>
      <c r="N11" s="32" t="s">
        <v>910</v>
      </c>
      <c r="O11" s="32" t="s">
        <v>1</v>
      </c>
      <c r="P11" s="32" t="s">
        <v>1</v>
      </c>
      <c r="Q11" s="228" t="s">
        <v>1</v>
      </c>
      <c r="R11" s="229"/>
      <c r="S11" s="45">
        <v>1</v>
      </c>
    </row>
    <row r="12" spans="1:19" s="41" customFormat="1" ht="45" customHeight="1">
      <c r="A12" s="132">
        <f t="shared" si="0"/>
        <v>7</v>
      </c>
      <c r="B12" s="31" t="s">
        <v>841</v>
      </c>
      <c r="C12" s="31" t="s">
        <v>255</v>
      </c>
      <c r="D12" s="31" t="s">
        <v>842</v>
      </c>
      <c r="E12" s="31" t="s">
        <v>66</v>
      </c>
      <c r="F12" s="32" t="s">
        <v>29</v>
      </c>
      <c r="G12" s="32" t="s">
        <v>48</v>
      </c>
      <c r="H12" s="42" t="s">
        <v>1</v>
      </c>
      <c r="I12" s="42" t="s">
        <v>1</v>
      </c>
      <c r="J12" s="34" t="s">
        <v>1092</v>
      </c>
      <c r="K12" s="34" t="s">
        <v>1132</v>
      </c>
      <c r="L12" s="43">
        <v>1</v>
      </c>
      <c r="M12" s="34" t="s">
        <v>52</v>
      </c>
      <c r="N12" s="32" t="s">
        <v>909</v>
      </c>
      <c r="O12" s="32" t="s">
        <v>1</v>
      </c>
      <c r="P12" s="32" t="s">
        <v>1</v>
      </c>
      <c r="Q12" s="228" t="s">
        <v>1</v>
      </c>
      <c r="R12" s="229"/>
      <c r="S12" s="45">
        <v>1</v>
      </c>
    </row>
    <row r="13" spans="1:19" s="41" customFormat="1" ht="45" customHeight="1">
      <c r="A13" s="132">
        <f t="shared" si="0"/>
        <v>8</v>
      </c>
      <c r="B13" s="31" t="s">
        <v>940</v>
      </c>
      <c r="C13" s="31" t="s">
        <v>256</v>
      </c>
      <c r="D13" s="31" t="s">
        <v>842</v>
      </c>
      <c r="E13" s="31" t="s">
        <v>926</v>
      </c>
      <c r="F13" s="32" t="s">
        <v>378</v>
      </c>
      <c r="G13" s="32" t="s">
        <v>48</v>
      </c>
      <c r="H13" s="33" t="s">
        <v>1</v>
      </c>
      <c r="I13" s="33" t="s">
        <v>1</v>
      </c>
      <c r="J13" s="34" t="s">
        <v>414</v>
      </c>
      <c r="K13" s="34" t="s">
        <v>1133</v>
      </c>
      <c r="L13" s="35">
        <v>1</v>
      </c>
      <c r="M13" s="34" t="s">
        <v>52</v>
      </c>
      <c r="N13" s="32" t="s">
        <v>910</v>
      </c>
      <c r="O13" s="32" t="s">
        <v>1</v>
      </c>
      <c r="P13" s="32" t="s">
        <v>1</v>
      </c>
      <c r="Q13" s="228" t="s">
        <v>1</v>
      </c>
      <c r="R13" s="229"/>
      <c r="S13" s="45">
        <v>1</v>
      </c>
    </row>
    <row r="14" spans="1:19" s="41" customFormat="1" ht="45.75" customHeight="1">
      <c r="A14" s="132">
        <f t="shared" si="0"/>
        <v>9</v>
      </c>
      <c r="B14" s="31" t="s">
        <v>843</v>
      </c>
      <c r="C14" s="31" t="s">
        <v>254</v>
      </c>
      <c r="D14" s="31" t="s">
        <v>842</v>
      </c>
      <c r="E14" s="31" t="s">
        <v>924</v>
      </c>
      <c r="F14" s="32" t="s">
        <v>49</v>
      </c>
      <c r="G14" s="32" t="s">
        <v>48</v>
      </c>
      <c r="H14" s="33" t="s">
        <v>1</v>
      </c>
      <c r="I14" s="33" t="s">
        <v>1</v>
      </c>
      <c r="J14" s="34" t="s">
        <v>1079</v>
      </c>
      <c r="K14" s="34" t="s">
        <v>1134</v>
      </c>
      <c r="L14" s="35">
        <v>1</v>
      </c>
      <c r="M14" s="34" t="s">
        <v>52</v>
      </c>
      <c r="N14" s="32" t="s">
        <v>909</v>
      </c>
      <c r="O14" s="32" t="s">
        <v>1</v>
      </c>
      <c r="P14" s="32" t="s">
        <v>1</v>
      </c>
      <c r="Q14" s="228" t="s">
        <v>1</v>
      </c>
      <c r="R14" s="229"/>
      <c r="S14" s="45">
        <v>1</v>
      </c>
    </row>
    <row r="15" spans="1:19" s="41" customFormat="1" ht="45" customHeight="1">
      <c r="A15" s="132">
        <f t="shared" ref="A15:A79" si="1">A14+1</f>
        <v>10</v>
      </c>
      <c r="B15" s="31" t="s">
        <v>933</v>
      </c>
      <c r="C15" s="31" t="s">
        <v>1</v>
      </c>
      <c r="D15" s="31" t="s">
        <v>842</v>
      </c>
      <c r="E15" s="31" t="s">
        <v>919</v>
      </c>
      <c r="F15" s="32" t="s">
        <v>1</v>
      </c>
      <c r="G15" s="32" t="s">
        <v>1</v>
      </c>
      <c r="H15" s="42" t="s">
        <v>1</v>
      </c>
      <c r="I15" s="42" t="s">
        <v>1</v>
      </c>
      <c r="J15" s="34" t="s">
        <v>1</v>
      </c>
      <c r="K15" s="34" t="s">
        <v>404</v>
      </c>
      <c r="L15" s="43">
        <v>1</v>
      </c>
      <c r="M15" s="34" t="s">
        <v>65</v>
      </c>
      <c r="N15" s="32" t="s">
        <v>1</v>
      </c>
      <c r="O15" s="32" t="s">
        <v>407</v>
      </c>
      <c r="P15" s="32" t="s">
        <v>406</v>
      </c>
      <c r="Q15" s="228" t="s">
        <v>405</v>
      </c>
      <c r="R15" s="229"/>
      <c r="S15" s="45">
        <v>1</v>
      </c>
    </row>
    <row r="16" spans="1:19" s="41" customFormat="1" ht="45" customHeight="1">
      <c r="A16" s="132">
        <f t="shared" si="1"/>
        <v>11</v>
      </c>
      <c r="B16" s="31" t="s">
        <v>844</v>
      </c>
      <c r="C16" s="31" t="s">
        <v>1</v>
      </c>
      <c r="D16" s="31" t="s">
        <v>842</v>
      </c>
      <c r="E16" s="31" t="s">
        <v>925</v>
      </c>
      <c r="F16" s="32" t="s">
        <v>49</v>
      </c>
      <c r="G16" s="32" t="s">
        <v>48</v>
      </c>
      <c r="H16" s="33" t="s">
        <v>1</v>
      </c>
      <c r="I16" s="33" t="s">
        <v>1</v>
      </c>
      <c r="J16" s="34" t="s">
        <v>418</v>
      </c>
      <c r="K16" s="34" t="s">
        <v>419</v>
      </c>
      <c r="L16" s="35">
        <v>1</v>
      </c>
      <c r="M16" s="34" t="s">
        <v>65</v>
      </c>
      <c r="N16" s="32" t="s">
        <v>909</v>
      </c>
      <c r="O16" s="32" t="s">
        <v>1</v>
      </c>
      <c r="P16" s="32" t="s">
        <v>888</v>
      </c>
      <c r="Q16" s="228" t="s">
        <v>1</v>
      </c>
      <c r="R16" s="229"/>
      <c r="S16" s="45">
        <v>1</v>
      </c>
    </row>
    <row r="17" spans="1:19" s="41" customFormat="1" ht="45.75" customHeight="1">
      <c r="A17" s="132">
        <f t="shared" si="1"/>
        <v>12</v>
      </c>
      <c r="B17" s="31" t="s">
        <v>934</v>
      </c>
      <c r="C17" s="31" t="s">
        <v>1</v>
      </c>
      <c r="D17" s="31" t="s">
        <v>842</v>
      </c>
      <c r="E17" s="31" t="s">
        <v>919</v>
      </c>
      <c r="F17" s="32" t="s">
        <v>1</v>
      </c>
      <c r="G17" s="32" t="s">
        <v>1</v>
      </c>
      <c r="H17" s="42" t="s">
        <v>1</v>
      </c>
      <c r="I17" s="42" t="s">
        <v>1</v>
      </c>
      <c r="J17" s="34" t="s">
        <v>1</v>
      </c>
      <c r="K17" s="34" t="s">
        <v>404</v>
      </c>
      <c r="L17" s="43">
        <v>1</v>
      </c>
      <c r="M17" s="34" t="s">
        <v>65</v>
      </c>
      <c r="N17" s="32" t="s">
        <v>1</v>
      </c>
      <c r="O17" s="32" t="s">
        <v>407</v>
      </c>
      <c r="P17" s="32" t="s">
        <v>406</v>
      </c>
      <c r="Q17" s="228" t="s">
        <v>405</v>
      </c>
      <c r="R17" s="229"/>
      <c r="S17" s="45">
        <v>1</v>
      </c>
    </row>
    <row r="18" spans="1:19" s="41" customFormat="1" ht="45.75" customHeight="1">
      <c r="A18" s="132">
        <f t="shared" si="1"/>
        <v>13</v>
      </c>
      <c r="B18" s="31" t="s">
        <v>923</v>
      </c>
      <c r="C18" s="77" t="s">
        <v>1</v>
      </c>
      <c r="D18" s="31" t="s">
        <v>842</v>
      </c>
      <c r="E18" s="31" t="s">
        <v>1047</v>
      </c>
      <c r="F18" s="32" t="s">
        <v>49</v>
      </c>
      <c r="G18" s="32" t="s">
        <v>48</v>
      </c>
      <c r="H18" s="33" t="s">
        <v>1</v>
      </c>
      <c r="I18" s="33" t="s">
        <v>1</v>
      </c>
      <c r="J18" s="34" t="s">
        <v>418</v>
      </c>
      <c r="K18" s="34" t="s">
        <v>419</v>
      </c>
      <c r="L18" s="35">
        <v>1</v>
      </c>
      <c r="M18" s="34" t="s">
        <v>65</v>
      </c>
      <c r="N18" s="32" t="s">
        <v>910</v>
      </c>
      <c r="O18" s="32" t="s">
        <v>1</v>
      </c>
      <c r="P18" s="32" t="s">
        <v>888</v>
      </c>
      <c r="Q18" s="228" t="s">
        <v>1</v>
      </c>
      <c r="R18" s="229"/>
      <c r="S18" s="45">
        <v>1</v>
      </c>
    </row>
    <row r="19" spans="1:19" s="41" customFormat="1" ht="45" customHeight="1">
      <c r="A19" s="132">
        <f t="shared" si="1"/>
        <v>14</v>
      </c>
      <c r="B19" s="31" t="s">
        <v>932</v>
      </c>
      <c r="C19" s="31" t="s">
        <v>1</v>
      </c>
      <c r="D19" s="31" t="s">
        <v>842</v>
      </c>
      <c r="E19" s="31" t="s">
        <v>919</v>
      </c>
      <c r="F19" s="32" t="s">
        <v>1</v>
      </c>
      <c r="G19" s="32" t="s">
        <v>1</v>
      </c>
      <c r="H19" s="42" t="s">
        <v>1</v>
      </c>
      <c r="I19" s="42" t="s">
        <v>1</v>
      </c>
      <c r="J19" s="34" t="s">
        <v>1</v>
      </c>
      <c r="K19" s="34" t="s">
        <v>404</v>
      </c>
      <c r="L19" s="43">
        <v>1</v>
      </c>
      <c r="M19" s="34" t="s">
        <v>65</v>
      </c>
      <c r="N19" s="32" t="s">
        <v>1</v>
      </c>
      <c r="O19" s="32" t="s">
        <v>407</v>
      </c>
      <c r="P19" s="32" t="s">
        <v>406</v>
      </c>
      <c r="Q19" s="228" t="s">
        <v>405</v>
      </c>
      <c r="R19" s="229"/>
      <c r="S19" s="45">
        <v>1</v>
      </c>
    </row>
    <row r="20" spans="1:19" s="41" customFormat="1" ht="45" customHeight="1">
      <c r="A20" s="132">
        <f t="shared" si="1"/>
        <v>15</v>
      </c>
      <c r="B20" s="31" t="s">
        <v>850</v>
      </c>
      <c r="C20" s="31" t="s">
        <v>814</v>
      </c>
      <c r="D20" s="31" t="s">
        <v>842</v>
      </c>
      <c r="E20" s="31" t="s">
        <v>1046</v>
      </c>
      <c r="F20" s="32" t="s">
        <v>80</v>
      </c>
      <c r="G20" s="32" t="s">
        <v>48</v>
      </c>
      <c r="H20" s="33" t="s">
        <v>1</v>
      </c>
      <c r="I20" s="33" t="s">
        <v>1</v>
      </c>
      <c r="J20" s="34" t="s">
        <v>1079</v>
      </c>
      <c r="K20" s="34" t="s">
        <v>1135</v>
      </c>
      <c r="L20" s="35">
        <v>1</v>
      </c>
      <c r="M20" s="34" t="s">
        <v>52</v>
      </c>
      <c r="N20" s="32" t="s">
        <v>910</v>
      </c>
      <c r="O20" s="32" t="s">
        <v>1</v>
      </c>
      <c r="P20" s="32" t="s">
        <v>1</v>
      </c>
      <c r="Q20" s="228" t="s">
        <v>1</v>
      </c>
      <c r="R20" s="229"/>
      <c r="S20" s="45">
        <v>1</v>
      </c>
    </row>
    <row r="21" spans="1:19" s="41" customFormat="1" ht="45" customHeight="1">
      <c r="A21" s="132">
        <f t="shared" si="1"/>
        <v>16</v>
      </c>
      <c r="B21" s="31" t="s">
        <v>845</v>
      </c>
      <c r="C21" s="31" t="s">
        <v>815</v>
      </c>
      <c r="D21" s="31" t="s">
        <v>842</v>
      </c>
      <c r="E21" s="31" t="s">
        <v>148</v>
      </c>
      <c r="F21" s="32" t="s">
        <v>49</v>
      </c>
      <c r="G21" s="32" t="s">
        <v>48</v>
      </c>
      <c r="H21" s="33" t="s">
        <v>1</v>
      </c>
      <c r="I21" s="33" t="s">
        <v>1</v>
      </c>
      <c r="J21" s="34" t="s">
        <v>1079</v>
      </c>
      <c r="K21" s="34" t="s">
        <v>1136</v>
      </c>
      <c r="L21" s="95">
        <v>2</v>
      </c>
      <c r="M21" s="34" t="s">
        <v>52</v>
      </c>
      <c r="N21" s="32" t="s">
        <v>910</v>
      </c>
      <c r="O21" s="32" t="s">
        <v>1</v>
      </c>
      <c r="P21" s="32" t="s">
        <v>1</v>
      </c>
      <c r="Q21" s="228" t="s">
        <v>846</v>
      </c>
      <c r="R21" s="229"/>
      <c r="S21" s="96">
        <v>3</v>
      </c>
    </row>
    <row r="22" spans="1:19" s="41" customFormat="1" ht="45" customHeight="1">
      <c r="A22" s="132">
        <f t="shared" si="1"/>
        <v>17</v>
      </c>
      <c r="B22" s="31" t="s">
        <v>847</v>
      </c>
      <c r="C22" s="31" t="s">
        <v>349</v>
      </c>
      <c r="D22" s="31" t="s">
        <v>848</v>
      </c>
      <c r="E22" s="31" t="s">
        <v>149</v>
      </c>
      <c r="F22" s="32" t="s">
        <v>49</v>
      </c>
      <c r="G22" s="32" t="s">
        <v>48</v>
      </c>
      <c r="H22" s="33" t="s">
        <v>1</v>
      </c>
      <c r="I22" s="33" t="s">
        <v>1</v>
      </c>
      <c r="J22" s="34" t="s">
        <v>1079</v>
      </c>
      <c r="K22" s="34" t="s">
        <v>1136</v>
      </c>
      <c r="L22" s="95">
        <v>2</v>
      </c>
      <c r="M22" s="34" t="s">
        <v>52</v>
      </c>
      <c r="N22" s="32" t="s">
        <v>909</v>
      </c>
      <c r="O22" s="32" t="s">
        <v>1</v>
      </c>
      <c r="P22" s="32" t="s">
        <v>1</v>
      </c>
      <c r="Q22" s="228" t="s">
        <v>849</v>
      </c>
      <c r="R22" s="229"/>
      <c r="S22" s="96">
        <v>3</v>
      </c>
    </row>
    <row r="23" spans="1:19" s="41" customFormat="1" ht="45.75" customHeight="1">
      <c r="A23" s="132">
        <f t="shared" si="1"/>
        <v>18</v>
      </c>
      <c r="B23" s="31" t="s">
        <v>982</v>
      </c>
      <c r="C23" s="31" t="s">
        <v>1</v>
      </c>
      <c r="D23" s="31" t="s">
        <v>842</v>
      </c>
      <c r="E23" s="31" t="s">
        <v>376</v>
      </c>
      <c r="F23" s="32" t="s">
        <v>91</v>
      </c>
      <c r="G23" s="32" t="s">
        <v>83</v>
      </c>
      <c r="H23" s="33" t="s">
        <v>340</v>
      </c>
      <c r="I23" s="33" t="s">
        <v>92</v>
      </c>
      <c r="J23" s="34" t="s">
        <v>93</v>
      </c>
      <c r="K23" s="34" t="s">
        <v>94</v>
      </c>
      <c r="L23" s="35">
        <v>1</v>
      </c>
      <c r="M23" s="34" t="s">
        <v>65</v>
      </c>
      <c r="N23" s="32" t="s">
        <v>910</v>
      </c>
      <c r="O23" s="32" t="s">
        <v>1</v>
      </c>
      <c r="P23" s="32" t="s">
        <v>898</v>
      </c>
      <c r="Q23" s="228" t="s">
        <v>1</v>
      </c>
      <c r="R23" s="229"/>
      <c r="S23" s="45">
        <v>1</v>
      </c>
    </row>
    <row r="24" spans="1:19" s="41" customFormat="1" ht="45" customHeight="1">
      <c r="A24" s="132">
        <f t="shared" si="1"/>
        <v>19</v>
      </c>
      <c r="B24" s="31" t="s">
        <v>983</v>
      </c>
      <c r="C24" s="31" t="s">
        <v>1</v>
      </c>
      <c r="D24" s="31" t="s">
        <v>842</v>
      </c>
      <c r="E24" s="31" t="s">
        <v>377</v>
      </c>
      <c r="F24" s="32" t="s">
        <v>91</v>
      </c>
      <c r="G24" s="32" t="s">
        <v>83</v>
      </c>
      <c r="H24" s="33" t="s">
        <v>340</v>
      </c>
      <c r="I24" s="33" t="s">
        <v>92</v>
      </c>
      <c r="J24" s="34" t="s">
        <v>93</v>
      </c>
      <c r="K24" s="34" t="s">
        <v>94</v>
      </c>
      <c r="L24" s="35">
        <v>1</v>
      </c>
      <c r="M24" s="34" t="s">
        <v>65</v>
      </c>
      <c r="N24" s="32" t="s">
        <v>910</v>
      </c>
      <c r="O24" s="32" t="s">
        <v>1</v>
      </c>
      <c r="P24" s="32" t="s">
        <v>898</v>
      </c>
      <c r="Q24" s="228" t="s">
        <v>1</v>
      </c>
      <c r="R24" s="229"/>
      <c r="S24" s="45">
        <v>1</v>
      </c>
    </row>
    <row r="25" spans="1:19" s="113" customFormat="1" ht="45" customHeight="1">
      <c r="A25" s="132">
        <f>A24+1</f>
        <v>20</v>
      </c>
      <c r="B25" s="115" t="s">
        <v>1278</v>
      </c>
      <c r="C25" s="115" t="s">
        <v>253</v>
      </c>
      <c r="D25" s="115" t="s">
        <v>848</v>
      </c>
      <c r="E25" s="115" t="s">
        <v>1306</v>
      </c>
      <c r="F25" s="116" t="s">
        <v>49</v>
      </c>
      <c r="G25" s="116" t="s">
        <v>48</v>
      </c>
      <c r="H25" s="120" t="s">
        <v>1</v>
      </c>
      <c r="I25" s="120" t="s">
        <v>1</v>
      </c>
      <c r="J25" s="118" t="s">
        <v>1079</v>
      </c>
      <c r="K25" s="118" t="s">
        <v>1136</v>
      </c>
      <c r="L25" s="121">
        <v>1</v>
      </c>
      <c r="M25" s="118" t="s">
        <v>52</v>
      </c>
      <c r="N25" s="116" t="s">
        <v>909</v>
      </c>
      <c r="O25" s="116" t="s">
        <v>1</v>
      </c>
      <c r="P25" s="116" t="s">
        <v>1</v>
      </c>
      <c r="Q25" s="297" t="s">
        <v>1</v>
      </c>
      <c r="R25" s="298"/>
      <c r="S25" s="119">
        <v>5</v>
      </c>
    </row>
    <row r="26" spans="1:19" s="113" customFormat="1" ht="45" customHeight="1">
      <c r="A26" s="132">
        <f t="shared" si="1"/>
        <v>21</v>
      </c>
      <c r="B26" s="115" t="s">
        <v>1280</v>
      </c>
      <c r="C26" s="115" t="s">
        <v>253</v>
      </c>
      <c r="D26" s="115" t="s">
        <v>848</v>
      </c>
      <c r="E26" s="115" t="s">
        <v>1307</v>
      </c>
      <c r="F26" s="116" t="s">
        <v>49</v>
      </c>
      <c r="G26" s="116" t="s">
        <v>48</v>
      </c>
      <c r="H26" s="120" t="s">
        <v>1</v>
      </c>
      <c r="I26" s="120" t="s">
        <v>1</v>
      </c>
      <c r="J26" s="118" t="s">
        <v>1079</v>
      </c>
      <c r="K26" s="118" t="s">
        <v>1136</v>
      </c>
      <c r="L26" s="121">
        <v>1</v>
      </c>
      <c r="M26" s="118" t="s">
        <v>52</v>
      </c>
      <c r="N26" s="116" t="s">
        <v>909</v>
      </c>
      <c r="O26" s="116" t="s">
        <v>1</v>
      </c>
      <c r="P26" s="116" t="s">
        <v>1</v>
      </c>
      <c r="Q26" s="297" t="s">
        <v>1</v>
      </c>
      <c r="R26" s="298"/>
      <c r="S26" s="119">
        <v>5</v>
      </c>
    </row>
    <row r="27" spans="1:19" s="41" customFormat="1" ht="45" customHeight="1">
      <c r="A27" s="132">
        <f t="shared" si="1"/>
        <v>22</v>
      </c>
      <c r="B27" s="31" t="s">
        <v>994</v>
      </c>
      <c r="C27" s="98" t="s">
        <v>1279</v>
      </c>
      <c r="D27" s="31" t="s">
        <v>993</v>
      </c>
      <c r="E27" s="31" t="s">
        <v>995</v>
      </c>
      <c r="F27" s="32" t="s">
        <v>29</v>
      </c>
      <c r="G27" s="32" t="s">
        <v>48</v>
      </c>
      <c r="H27" s="33" t="s">
        <v>324</v>
      </c>
      <c r="I27" s="33" t="s">
        <v>325</v>
      </c>
      <c r="J27" s="34" t="s">
        <v>421</v>
      </c>
      <c r="K27" s="34" t="s">
        <v>420</v>
      </c>
      <c r="L27" s="35">
        <v>1</v>
      </c>
      <c r="M27" s="34" t="s">
        <v>65</v>
      </c>
      <c r="N27" s="32" t="s">
        <v>910</v>
      </c>
      <c r="O27" s="32" t="s">
        <v>1</v>
      </c>
      <c r="P27" s="32" t="s">
        <v>889</v>
      </c>
      <c r="Q27" s="228" t="s">
        <v>1</v>
      </c>
      <c r="R27" s="229"/>
      <c r="S27" s="45">
        <v>1</v>
      </c>
    </row>
    <row r="28" spans="1:19" s="41" customFormat="1" ht="45" customHeight="1">
      <c r="A28" s="132">
        <f t="shared" si="1"/>
        <v>23</v>
      </c>
      <c r="B28" s="31" t="s">
        <v>996</v>
      </c>
      <c r="C28" s="31" t="s">
        <v>1</v>
      </c>
      <c r="D28" s="31" t="s">
        <v>993</v>
      </c>
      <c r="E28" s="31" t="s">
        <v>1001</v>
      </c>
      <c r="F28" s="32" t="s">
        <v>29</v>
      </c>
      <c r="G28" s="32" t="s">
        <v>48</v>
      </c>
      <c r="H28" s="33" t="s">
        <v>324</v>
      </c>
      <c r="I28" s="33" t="s">
        <v>325</v>
      </c>
      <c r="J28" s="34" t="s">
        <v>421</v>
      </c>
      <c r="K28" s="34" t="s">
        <v>420</v>
      </c>
      <c r="L28" s="35">
        <v>1</v>
      </c>
      <c r="M28" s="34" t="s">
        <v>65</v>
      </c>
      <c r="N28" s="32" t="s">
        <v>910</v>
      </c>
      <c r="O28" s="32" t="s">
        <v>1</v>
      </c>
      <c r="P28" s="32" t="s">
        <v>889</v>
      </c>
      <c r="Q28" s="228" t="s">
        <v>1</v>
      </c>
      <c r="R28" s="229"/>
      <c r="S28" s="45">
        <v>1</v>
      </c>
    </row>
    <row r="29" spans="1:19" s="41" customFormat="1" ht="45" customHeight="1">
      <c r="A29" s="132">
        <f t="shared" si="1"/>
        <v>24</v>
      </c>
      <c r="B29" s="31" t="s">
        <v>997</v>
      </c>
      <c r="C29" s="31" t="s">
        <v>1</v>
      </c>
      <c r="D29" s="31" t="s">
        <v>993</v>
      </c>
      <c r="E29" s="31" t="s">
        <v>1002</v>
      </c>
      <c r="F29" s="32" t="s">
        <v>29</v>
      </c>
      <c r="G29" s="32" t="s">
        <v>48</v>
      </c>
      <c r="H29" s="33" t="s">
        <v>324</v>
      </c>
      <c r="I29" s="33" t="s">
        <v>325</v>
      </c>
      <c r="J29" s="34" t="s">
        <v>421</v>
      </c>
      <c r="K29" s="34" t="s">
        <v>420</v>
      </c>
      <c r="L29" s="35">
        <v>1</v>
      </c>
      <c r="M29" s="34" t="s">
        <v>65</v>
      </c>
      <c r="N29" s="32" t="s">
        <v>910</v>
      </c>
      <c r="O29" s="32" t="s">
        <v>1</v>
      </c>
      <c r="P29" s="32" t="s">
        <v>889</v>
      </c>
      <c r="Q29" s="228" t="s">
        <v>1</v>
      </c>
      <c r="R29" s="229"/>
      <c r="S29" s="45">
        <v>1</v>
      </c>
    </row>
    <row r="30" spans="1:19" s="41" customFormat="1" ht="45" customHeight="1">
      <c r="A30" s="132">
        <f t="shared" si="1"/>
        <v>25</v>
      </c>
      <c r="B30" s="31" t="s">
        <v>998</v>
      </c>
      <c r="C30" s="31" t="s">
        <v>1</v>
      </c>
      <c r="D30" s="31" t="s">
        <v>993</v>
      </c>
      <c r="E30" s="31" t="s">
        <v>1003</v>
      </c>
      <c r="F30" s="32" t="s">
        <v>29</v>
      </c>
      <c r="G30" s="32" t="s">
        <v>48</v>
      </c>
      <c r="H30" s="33" t="s">
        <v>324</v>
      </c>
      <c r="I30" s="33" t="s">
        <v>325</v>
      </c>
      <c r="J30" s="34" t="s">
        <v>421</v>
      </c>
      <c r="K30" s="34" t="s">
        <v>420</v>
      </c>
      <c r="L30" s="35">
        <v>1</v>
      </c>
      <c r="M30" s="34" t="s">
        <v>65</v>
      </c>
      <c r="N30" s="32" t="s">
        <v>910</v>
      </c>
      <c r="O30" s="32" t="s">
        <v>1</v>
      </c>
      <c r="P30" s="32" t="s">
        <v>889</v>
      </c>
      <c r="Q30" s="228" t="s">
        <v>1</v>
      </c>
      <c r="R30" s="229"/>
      <c r="S30" s="45">
        <v>1</v>
      </c>
    </row>
    <row r="31" spans="1:19" s="41" customFormat="1" ht="45" customHeight="1">
      <c r="A31" s="132">
        <f t="shared" si="1"/>
        <v>26</v>
      </c>
      <c r="B31" s="31" t="s">
        <v>999</v>
      </c>
      <c r="C31" s="31" t="s">
        <v>1</v>
      </c>
      <c r="D31" s="31" t="s">
        <v>993</v>
      </c>
      <c r="E31" s="31" t="s">
        <v>1004</v>
      </c>
      <c r="F31" s="32" t="s">
        <v>29</v>
      </c>
      <c r="G31" s="32" t="s">
        <v>48</v>
      </c>
      <c r="H31" s="33" t="s">
        <v>324</v>
      </c>
      <c r="I31" s="33" t="s">
        <v>325</v>
      </c>
      <c r="J31" s="34" t="s">
        <v>421</v>
      </c>
      <c r="K31" s="34" t="s">
        <v>420</v>
      </c>
      <c r="L31" s="35">
        <v>1</v>
      </c>
      <c r="M31" s="34" t="s">
        <v>65</v>
      </c>
      <c r="N31" s="32" t="s">
        <v>910</v>
      </c>
      <c r="O31" s="32" t="s">
        <v>1</v>
      </c>
      <c r="P31" s="32" t="s">
        <v>889</v>
      </c>
      <c r="Q31" s="228" t="s">
        <v>1</v>
      </c>
      <c r="R31" s="229"/>
      <c r="S31" s="45">
        <v>1</v>
      </c>
    </row>
    <row r="32" spans="1:19" s="41" customFormat="1" ht="45" customHeight="1">
      <c r="A32" s="132">
        <f t="shared" si="1"/>
        <v>27</v>
      </c>
      <c r="B32" s="31" t="s">
        <v>1000</v>
      </c>
      <c r="C32" s="31" t="s">
        <v>1</v>
      </c>
      <c r="D32" s="31" t="s">
        <v>993</v>
      </c>
      <c r="E32" s="31" t="s">
        <v>1005</v>
      </c>
      <c r="F32" s="32" t="s">
        <v>29</v>
      </c>
      <c r="G32" s="32" t="s">
        <v>48</v>
      </c>
      <c r="H32" s="33" t="s">
        <v>324</v>
      </c>
      <c r="I32" s="33" t="s">
        <v>325</v>
      </c>
      <c r="J32" s="34" t="s">
        <v>421</v>
      </c>
      <c r="K32" s="34" t="s">
        <v>420</v>
      </c>
      <c r="L32" s="35">
        <v>1</v>
      </c>
      <c r="M32" s="34" t="s">
        <v>65</v>
      </c>
      <c r="N32" s="32" t="s">
        <v>910</v>
      </c>
      <c r="O32" s="32" t="s">
        <v>1</v>
      </c>
      <c r="P32" s="32" t="s">
        <v>889</v>
      </c>
      <c r="Q32" s="228" t="s">
        <v>1</v>
      </c>
      <c r="R32" s="229"/>
      <c r="S32" s="45">
        <v>1</v>
      </c>
    </row>
    <row r="33" spans="1:19" s="41" customFormat="1" ht="45" customHeight="1">
      <c r="A33" s="132">
        <f t="shared" si="1"/>
        <v>28</v>
      </c>
      <c r="B33" s="31" t="s">
        <v>875</v>
      </c>
      <c r="C33" s="31" t="s">
        <v>1</v>
      </c>
      <c r="D33" s="31" t="s">
        <v>858</v>
      </c>
      <c r="E33" s="78" t="s">
        <v>873</v>
      </c>
      <c r="F33" s="78" t="s">
        <v>523</v>
      </c>
      <c r="G33" s="79" t="s">
        <v>48</v>
      </c>
      <c r="H33" s="79" t="s">
        <v>1</v>
      </c>
      <c r="I33" s="79" t="s">
        <v>1</v>
      </c>
      <c r="J33" s="291" t="s">
        <v>1124</v>
      </c>
      <c r="K33" s="268" t="s">
        <v>1137</v>
      </c>
      <c r="L33" s="270">
        <v>1</v>
      </c>
      <c r="M33" s="271" t="s">
        <v>52</v>
      </c>
      <c r="N33" s="271" t="s">
        <v>910</v>
      </c>
      <c r="O33" s="32" t="s">
        <v>1</v>
      </c>
      <c r="P33" s="32" t="s">
        <v>1</v>
      </c>
      <c r="Q33" s="228" t="s">
        <v>1</v>
      </c>
      <c r="R33" s="229"/>
      <c r="S33" s="45">
        <v>1</v>
      </c>
    </row>
    <row r="34" spans="1:19" s="41" customFormat="1" ht="45" customHeight="1">
      <c r="A34" s="132">
        <f t="shared" si="1"/>
        <v>29</v>
      </c>
      <c r="B34" s="80" t="s">
        <v>876</v>
      </c>
      <c r="C34" s="80" t="s">
        <v>1</v>
      </c>
      <c r="D34" s="81" t="s">
        <v>858</v>
      </c>
      <c r="E34" s="32" t="s">
        <v>874</v>
      </c>
      <c r="F34" s="32" t="s">
        <v>523</v>
      </c>
      <c r="G34" s="33" t="s">
        <v>48</v>
      </c>
      <c r="H34" s="33" t="s">
        <v>1</v>
      </c>
      <c r="I34" s="33" t="s">
        <v>1</v>
      </c>
      <c r="J34" s="292"/>
      <c r="K34" s="292"/>
      <c r="L34" s="294"/>
      <c r="M34" s="296"/>
      <c r="N34" s="296"/>
      <c r="O34" s="32" t="s">
        <v>1</v>
      </c>
      <c r="P34" s="32" t="s">
        <v>1</v>
      </c>
      <c r="Q34" s="228" t="s">
        <v>1</v>
      </c>
      <c r="R34" s="229"/>
      <c r="S34" s="45">
        <v>1</v>
      </c>
    </row>
    <row r="35" spans="1:19" s="41" customFormat="1" ht="45" customHeight="1">
      <c r="A35" s="132">
        <f t="shared" si="1"/>
        <v>30</v>
      </c>
      <c r="B35" s="31" t="s">
        <v>856</v>
      </c>
      <c r="C35" s="31" t="s">
        <v>257</v>
      </c>
      <c r="D35" s="36" t="s">
        <v>858</v>
      </c>
      <c r="E35" s="37" t="s">
        <v>74</v>
      </c>
      <c r="F35" s="38" t="s">
        <v>62</v>
      </c>
      <c r="G35" s="38" t="s">
        <v>48</v>
      </c>
      <c r="H35" s="39" t="s">
        <v>1</v>
      </c>
      <c r="I35" s="39" t="s">
        <v>1</v>
      </c>
      <c r="J35" s="34" t="s">
        <v>1079</v>
      </c>
      <c r="K35" s="34" t="s">
        <v>1138</v>
      </c>
      <c r="L35" s="43">
        <v>1</v>
      </c>
      <c r="M35" s="34" t="s">
        <v>52</v>
      </c>
      <c r="N35" s="32" t="s">
        <v>910</v>
      </c>
      <c r="O35" s="32" t="s">
        <v>1</v>
      </c>
      <c r="P35" s="32" t="s">
        <v>1</v>
      </c>
      <c r="Q35" s="228" t="s">
        <v>1</v>
      </c>
      <c r="R35" s="229"/>
      <c r="S35" s="49">
        <v>1</v>
      </c>
    </row>
    <row r="36" spans="1:19" s="41" customFormat="1" ht="45" customHeight="1">
      <c r="A36" s="132">
        <f t="shared" si="1"/>
        <v>31</v>
      </c>
      <c r="B36" s="37" t="s">
        <v>857</v>
      </c>
      <c r="C36" s="36" t="s">
        <v>258</v>
      </c>
      <c r="D36" s="31" t="s">
        <v>858</v>
      </c>
      <c r="E36" s="31" t="s">
        <v>75</v>
      </c>
      <c r="F36" s="32" t="s">
        <v>62</v>
      </c>
      <c r="G36" s="32" t="s">
        <v>48</v>
      </c>
      <c r="H36" s="42" t="s">
        <v>1</v>
      </c>
      <c r="I36" s="42" t="s">
        <v>1</v>
      </c>
      <c r="J36" s="34" t="s">
        <v>1079</v>
      </c>
      <c r="K36" s="58" t="s">
        <v>1138</v>
      </c>
      <c r="L36" s="40">
        <v>1</v>
      </c>
      <c r="M36" s="58" t="s">
        <v>52</v>
      </c>
      <c r="N36" s="38" t="s">
        <v>910</v>
      </c>
      <c r="O36" s="38" t="s">
        <v>1</v>
      </c>
      <c r="P36" s="38" t="s">
        <v>1</v>
      </c>
      <c r="Q36" s="228" t="s">
        <v>1</v>
      </c>
      <c r="R36" s="229"/>
      <c r="S36" s="45">
        <v>1</v>
      </c>
    </row>
    <row r="37" spans="1:19" s="41" customFormat="1" ht="45" customHeight="1">
      <c r="A37" s="132">
        <f t="shared" si="1"/>
        <v>32</v>
      </c>
      <c r="B37" s="31" t="s">
        <v>877</v>
      </c>
      <c r="C37" s="31" t="s">
        <v>1</v>
      </c>
      <c r="D37" s="31" t="s">
        <v>861</v>
      </c>
      <c r="E37" s="32" t="s">
        <v>873</v>
      </c>
      <c r="F37" s="32" t="s">
        <v>523</v>
      </c>
      <c r="G37" s="33" t="s">
        <v>48</v>
      </c>
      <c r="H37" s="33" t="s">
        <v>1</v>
      </c>
      <c r="I37" s="33" t="s">
        <v>1</v>
      </c>
      <c r="J37" s="291" t="s">
        <v>1124</v>
      </c>
      <c r="K37" s="291" t="s">
        <v>1137</v>
      </c>
      <c r="L37" s="293">
        <v>1</v>
      </c>
      <c r="M37" s="295" t="s">
        <v>52</v>
      </c>
      <c r="N37" s="295" t="s">
        <v>910</v>
      </c>
      <c r="O37" s="38" t="s">
        <v>1</v>
      </c>
      <c r="P37" s="38" t="s">
        <v>1</v>
      </c>
      <c r="Q37" s="228" t="s">
        <v>1</v>
      </c>
      <c r="R37" s="229"/>
      <c r="S37" s="45">
        <v>1</v>
      </c>
    </row>
    <row r="38" spans="1:19" s="41" customFormat="1" ht="45" customHeight="1">
      <c r="A38" s="132">
        <f t="shared" si="1"/>
        <v>33</v>
      </c>
      <c r="B38" s="31" t="s">
        <v>878</v>
      </c>
      <c r="C38" s="31" t="s">
        <v>1</v>
      </c>
      <c r="D38" s="31" t="s">
        <v>861</v>
      </c>
      <c r="E38" s="32" t="s">
        <v>874</v>
      </c>
      <c r="F38" s="32" t="s">
        <v>523</v>
      </c>
      <c r="G38" s="33" t="s">
        <v>48</v>
      </c>
      <c r="H38" s="33" t="s">
        <v>1</v>
      </c>
      <c r="I38" s="33" t="s">
        <v>1</v>
      </c>
      <c r="J38" s="292"/>
      <c r="K38" s="292"/>
      <c r="L38" s="294"/>
      <c r="M38" s="296"/>
      <c r="N38" s="296"/>
      <c r="O38" s="38" t="s">
        <v>1</v>
      </c>
      <c r="P38" s="38" t="s">
        <v>1</v>
      </c>
      <c r="Q38" s="228" t="s">
        <v>1</v>
      </c>
      <c r="R38" s="229"/>
      <c r="S38" s="45">
        <v>1</v>
      </c>
    </row>
    <row r="39" spans="1:19" s="41" customFormat="1" ht="45" customHeight="1">
      <c r="A39" s="132">
        <f t="shared" si="1"/>
        <v>34</v>
      </c>
      <c r="B39" s="31" t="s">
        <v>859</v>
      </c>
      <c r="C39" s="31" t="s">
        <v>265</v>
      </c>
      <c r="D39" s="31" t="s">
        <v>861</v>
      </c>
      <c r="E39" s="31" t="s">
        <v>74</v>
      </c>
      <c r="F39" s="32" t="s">
        <v>62</v>
      </c>
      <c r="G39" s="32" t="s">
        <v>48</v>
      </c>
      <c r="H39" s="42" t="s">
        <v>1</v>
      </c>
      <c r="I39" s="42" t="s">
        <v>1</v>
      </c>
      <c r="J39" s="34" t="s">
        <v>1079</v>
      </c>
      <c r="K39" s="34" t="s">
        <v>1138</v>
      </c>
      <c r="L39" s="43">
        <v>1</v>
      </c>
      <c r="M39" s="34" t="s">
        <v>52</v>
      </c>
      <c r="N39" s="32" t="s">
        <v>910</v>
      </c>
      <c r="O39" s="32" t="s">
        <v>1</v>
      </c>
      <c r="P39" s="32" t="s">
        <v>1</v>
      </c>
      <c r="Q39" s="228" t="s">
        <v>1</v>
      </c>
      <c r="R39" s="229"/>
      <c r="S39" s="45">
        <v>1</v>
      </c>
    </row>
    <row r="40" spans="1:19" s="41" customFormat="1" ht="45" customHeight="1">
      <c r="A40" s="132">
        <f t="shared" si="1"/>
        <v>35</v>
      </c>
      <c r="B40" s="31" t="s">
        <v>860</v>
      </c>
      <c r="C40" s="31" t="s">
        <v>266</v>
      </c>
      <c r="D40" s="31" t="s">
        <v>861</v>
      </c>
      <c r="E40" s="31" t="s">
        <v>75</v>
      </c>
      <c r="F40" s="32" t="s">
        <v>62</v>
      </c>
      <c r="G40" s="32" t="s">
        <v>48</v>
      </c>
      <c r="H40" s="42" t="s">
        <v>1</v>
      </c>
      <c r="I40" s="42" t="s">
        <v>1</v>
      </c>
      <c r="J40" s="34" t="s">
        <v>1079</v>
      </c>
      <c r="K40" s="34" t="s">
        <v>1138</v>
      </c>
      <c r="L40" s="43">
        <v>1</v>
      </c>
      <c r="M40" s="34" t="s">
        <v>52</v>
      </c>
      <c r="N40" s="32" t="s">
        <v>910</v>
      </c>
      <c r="O40" s="32" t="s">
        <v>1</v>
      </c>
      <c r="P40" s="32" t="s">
        <v>1</v>
      </c>
      <c r="Q40" s="228" t="s">
        <v>1</v>
      </c>
      <c r="R40" s="229"/>
      <c r="S40" s="45">
        <v>1</v>
      </c>
    </row>
    <row r="41" spans="1:19" s="41" customFormat="1" ht="45" customHeight="1">
      <c r="A41" s="132">
        <f t="shared" si="1"/>
        <v>36</v>
      </c>
      <c r="B41" s="31" t="s">
        <v>879</v>
      </c>
      <c r="C41" s="31" t="s">
        <v>1</v>
      </c>
      <c r="D41" s="31" t="s">
        <v>864</v>
      </c>
      <c r="E41" s="32" t="s">
        <v>873</v>
      </c>
      <c r="F41" s="32" t="s">
        <v>523</v>
      </c>
      <c r="G41" s="33" t="s">
        <v>48</v>
      </c>
      <c r="H41" s="33" t="s">
        <v>1</v>
      </c>
      <c r="I41" s="33" t="s">
        <v>1</v>
      </c>
      <c r="J41" s="291" t="s">
        <v>1124</v>
      </c>
      <c r="K41" s="291" t="s">
        <v>1137</v>
      </c>
      <c r="L41" s="293">
        <v>1</v>
      </c>
      <c r="M41" s="295" t="s">
        <v>52</v>
      </c>
      <c r="N41" s="295" t="s">
        <v>910</v>
      </c>
      <c r="O41" s="32" t="s">
        <v>1</v>
      </c>
      <c r="P41" s="32" t="s">
        <v>1</v>
      </c>
      <c r="Q41" s="228" t="s">
        <v>1</v>
      </c>
      <c r="R41" s="229"/>
      <c r="S41" s="45">
        <v>1</v>
      </c>
    </row>
    <row r="42" spans="1:19" s="41" customFormat="1" ht="45" customHeight="1">
      <c r="A42" s="132">
        <f t="shared" si="1"/>
        <v>37</v>
      </c>
      <c r="B42" s="31" t="s">
        <v>880</v>
      </c>
      <c r="C42" s="31" t="s">
        <v>1</v>
      </c>
      <c r="D42" s="31" t="s">
        <v>864</v>
      </c>
      <c r="E42" s="32" t="s">
        <v>874</v>
      </c>
      <c r="F42" s="32" t="s">
        <v>523</v>
      </c>
      <c r="G42" s="33" t="s">
        <v>48</v>
      </c>
      <c r="H42" s="33" t="s">
        <v>1</v>
      </c>
      <c r="I42" s="33" t="s">
        <v>1</v>
      </c>
      <c r="J42" s="292"/>
      <c r="K42" s="292"/>
      <c r="L42" s="294"/>
      <c r="M42" s="296"/>
      <c r="N42" s="296"/>
      <c r="O42" s="32" t="s">
        <v>1</v>
      </c>
      <c r="P42" s="32" t="s">
        <v>1</v>
      </c>
      <c r="Q42" s="228" t="s">
        <v>1</v>
      </c>
      <c r="R42" s="229"/>
      <c r="S42" s="45">
        <v>1</v>
      </c>
    </row>
    <row r="43" spans="1:19" s="41" customFormat="1" ht="45" customHeight="1">
      <c r="A43" s="132">
        <f t="shared" si="1"/>
        <v>38</v>
      </c>
      <c r="B43" s="31" t="s">
        <v>862</v>
      </c>
      <c r="C43" s="77" t="s">
        <v>261</v>
      </c>
      <c r="D43" s="31" t="s">
        <v>864</v>
      </c>
      <c r="E43" s="31" t="s">
        <v>74</v>
      </c>
      <c r="F43" s="32" t="s">
        <v>62</v>
      </c>
      <c r="G43" s="32" t="s">
        <v>48</v>
      </c>
      <c r="H43" s="42" t="s">
        <v>1</v>
      </c>
      <c r="I43" s="42" t="s">
        <v>1</v>
      </c>
      <c r="J43" s="34" t="s">
        <v>1079</v>
      </c>
      <c r="K43" s="34" t="s">
        <v>1138</v>
      </c>
      <c r="L43" s="43">
        <v>1</v>
      </c>
      <c r="M43" s="34" t="s">
        <v>52</v>
      </c>
      <c r="N43" s="32" t="s">
        <v>910</v>
      </c>
      <c r="O43" s="78" t="s">
        <v>1</v>
      </c>
      <c r="P43" s="78" t="s">
        <v>1</v>
      </c>
      <c r="Q43" s="228" t="s">
        <v>1</v>
      </c>
      <c r="R43" s="229"/>
      <c r="S43" s="45">
        <v>1</v>
      </c>
    </row>
    <row r="44" spans="1:19" s="41" customFormat="1" ht="45" customHeight="1">
      <c r="A44" s="132">
        <f t="shared" si="1"/>
        <v>39</v>
      </c>
      <c r="B44" s="31" t="s">
        <v>863</v>
      </c>
      <c r="C44" s="31" t="s">
        <v>262</v>
      </c>
      <c r="D44" s="31" t="s">
        <v>864</v>
      </c>
      <c r="E44" s="31" t="s">
        <v>75</v>
      </c>
      <c r="F44" s="32" t="s">
        <v>62</v>
      </c>
      <c r="G44" s="32" t="s">
        <v>48</v>
      </c>
      <c r="H44" s="42" t="s">
        <v>1</v>
      </c>
      <c r="I44" s="42" t="s">
        <v>1</v>
      </c>
      <c r="J44" s="34" t="s">
        <v>1079</v>
      </c>
      <c r="K44" s="34" t="s">
        <v>1138</v>
      </c>
      <c r="L44" s="43">
        <v>1</v>
      </c>
      <c r="M44" s="34" t="s">
        <v>52</v>
      </c>
      <c r="N44" s="32" t="s">
        <v>910</v>
      </c>
      <c r="O44" s="32" t="s">
        <v>1</v>
      </c>
      <c r="P44" s="32" t="s">
        <v>1</v>
      </c>
      <c r="Q44" s="228" t="s">
        <v>1</v>
      </c>
      <c r="R44" s="229"/>
      <c r="S44" s="45">
        <v>1</v>
      </c>
    </row>
    <row r="45" spans="1:19" s="41" customFormat="1" ht="45" customHeight="1">
      <c r="A45" s="132">
        <f t="shared" si="1"/>
        <v>40</v>
      </c>
      <c r="B45" s="31" t="s">
        <v>881</v>
      </c>
      <c r="C45" s="31" t="s">
        <v>1</v>
      </c>
      <c r="D45" s="31" t="s">
        <v>867</v>
      </c>
      <c r="E45" s="32" t="s">
        <v>873</v>
      </c>
      <c r="F45" s="32" t="s">
        <v>523</v>
      </c>
      <c r="G45" s="33" t="s">
        <v>48</v>
      </c>
      <c r="H45" s="33" t="s">
        <v>1</v>
      </c>
      <c r="I45" s="33" t="s">
        <v>1</v>
      </c>
      <c r="J45" s="291" t="s">
        <v>1124</v>
      </c>
      <c r="K45" s="291" t="s">
        <v>1137</v>
      </c>
      <c r="L45" s="293">
        <v>1</v>
      </c>
      <c r="M45" s="295" t="s">
        <v>52</v>
      </c>
      <c r="N45" s="295" t="s">
        <v>910</v>
      </c>
      <c r="O45" s="32" t="s">
        <v>1</v>
      </c>
      <c r="P45" s="32" t="s">
        <v>1</v>
      </c>
      <c r="Q45" s="228" t="s">
        <v>1</v>
      </c>
      <c r="R45" s="229"/>
      <c r="S45" s="45">
        <v>1</v>
      </c>
    </row>
    <row r="46" spans="1:19" s="41" customFormat="1" ht="45" customHeight="1">
      <c r="A46" s="132">
        <f t="shared" si="1"/>
        <v>41</v>
      </c>
      <c r="B46" s="31" t="s">
        <v>882</v>
      </c>
      <c r="C46" s="31" t="s">
        <v>1</v>
      </c>
      <c r="D46" s="31" t="s">
        <v>867</v>
      </c>
      <c r="E46" s="32" t="s">
        <v>874</v>
      </c>
      <c r="F46" s="32" t="s">
        <v>523</v>
      </c>
      <c r="G46" s="33" t="s">
        <v>48</v>
      </c>
      <c r="H46" s="33" t="s">
        <v>1</v>
      </c>
      <c r="I46" s="33" t="s">
        <v>1</v>
      </c>
      <c r="J46" s="292"/>
      <c r="K46" s="292"/>
      <c r="L46" s="294"/>
      <c r="M46" s="296"/>
      <c r="N46" s="296"/>
      <c r="O46" s="32" t="s">
        <v>1</v>
      </c>
      <c r="P46" s="32" t="s">
        <v>1</v>
      </c>
      <c r="Q46" s="228" t="s">
        <v>1</v>
      </c>
      <c r="R46" s="229"/>
      <c r="S46" s="45">
        <v>1</v>
      </c>
    </row>
    <row r="47" spans="1:19" s="41" customFormat="1" ht="45" customHeight="1">
      <c r="A47" s="132">
        <f t="shared" si="1"/>
        <v>42</v>
      </c>
      <c r="B47" s="31" t="s">
        <v>865</v>
      </c>
      <c r="C47" s="31" t="s">
        <v>269</v>
      </c>
      <c r="D47" s="31" t="s">
        <v>867</v>
      </c>
      <c r="E47" s="31" t="s">
        <v>74</v>
      </c>
      <c r="F47" s="32" t="s">
        <v>62</v>
      </c>
      <c r="G47" s="32" t="s">
        <v>48</v>
      </c>
      <c r="H47" s="42" t="s">
        <v>1</v>
      </c>
      <c r="I47" s="42" t="s">
        <v>1</v>
      </c>
      <c r="J47" s="34" t="s">
        <v>1079</v>
      </c>
      <c r="K47" s="34" t="s">
        <v>1138</v>
      </c>
      <c r="L47" s="43">
        <v>1</v>
      </c>
      <c r="M47" s="34" t="s">
        <v>52</v>
      </c>
      <c r="N47" s="32" t="s">
        <v>910</v>
      </c>
      <c r="O47" s="32" t="s">
        <v>1</v>
      </c>
      <c r="P47" s="32" t="s">
        <v>1</v>
      </c>
      <c r="Q47" s="228" t="s">
        <v>1</v>
      </c>
      <c r="R47" s="229"/>
      <c r="S47" s="45">
        <v>1</v>
      </c>
    </row>
    <row r="48" spans="1:19" s="41" customFormat="1" ht="45" customHeight="1">
      <c r="A48" s="132">
        <f t="shared" si="1"/>
        <v>43</v>
      </c>
      <c r="B48" s="31" t="s">
        <v>866</v>
      </c>
      <c r="C48" s="31" t="s">
        <v>270</v>
      </c>
      <c r="D48" s="31" t="s">
        <v>867</v>
      </c>
      <c r="E48" s="31" t="s">
        <v>75</v>
      </c>
      <c r="F48" s="32" t="s">
        <v>62</v>
      </c>
      <c r="G48" s="32" t="s">
        <v>48</v>
      </c>
      <c r="H48" s="42" t="s">
        <v>1</v>
      </c>
      <c r="I48" s="42" t="s">
        <v>1</v>
      </c>
      <c r="J48" s="34" t="s">
        <v>1079</v>
      </c>
      <c r="K48" s="34" t="s">
        <v>1138</v>
      </c>
      <c r="L48" s="43">
        <v>1</v>
      </c>
      <c r="M48" s="34" t="s">
        <v>52</v>
      </c>
      <c r="N48" s="32" t="s">
        <v>910</v>
      </c>
      <c r="O48" s="32" t="s">
        <v>1</v>
      </c>
      <c r="P48" s="32" t="s">
        <v>1</v>
      </c>
      <c r="Q48" s="228" t="s">
        <v>1</v>
      </c>
      <c r="R48" s="229"/>
      <c r="S48" s="45">
        <v>1</v>
      </c>
    </row>
    <row r="49" spans="1:19" s="41" customFormat="1" ht="45" customHeight="1">
      <c r="A49" s="132">
        <f t="shared" si="1"/>
        <v>44</v>
      </c>
      <c r="B49" s="31" t="s">
        <v>883</v>
      </c>
      <c r="C49" s="31" t="s">
        <v>1</v>
      </c>
      <c r="D49" s="31" t="s">
        <v>870</v>
      </c>
      <c r="E49" s="32" t="s">
        <v>873</v>
      </c>
      <c r="F49" s="32" t="s">
        <v>523</v>
      </c>
      <c r="G49" s="33" t="s">
        <v>48</v>
      </c>
      <c r="H49" s="33" t="s">
        <v>1</v>
      </c>
      <c r="I49" s="33" t="s">
        <v>1</v>
      </c>
      <c r="J49" s="291" t="s">
        <v>1124</v>
      </c>
      <c r="K49" s="291" t="s">
        <v>1137</v>
      </c>
      <c r="L49" s="293">
        <v>1</v>
      </c>
      <c r="M49" s="295" t="s">
        <v>52</v>
      </c>
      <c r="N49" s="295" t="s">
        <v>910</v>
      </c>
      <c r="O49" s="32" t="s">
        <v>1</v>
      </c>
      <c r="P49" s="32" t="s">
        <v>1</v>
      </c>
      <c r="Q49" s="228" t="s">
        <v>1</v>
      </c>
      <c r="R49" s="229"/>
      <c r="S49" s="45">
        <v>1</v>
      </c>
    </row>
    <row r="50" spans="1:19" s="41" customFormat="1" ht="45" customHeight="1">
      <c r="A50" s="132">
        <f t="shared" si="1"/>
        <v>45</v>
      </c>
      <c r="B50" s="31" t="s">
        <v>884</v>
      </c>
      <c r="C50" s="31" t="s">
        <v>1</v>
      </c>
      <c r="D50" s="31" t="s">
        <v>870</v>
      </c>
      <c r="E50" s="32" t="s">
        <v>874</v>
      </c>
      <c r="F50" s="32" t="s">
        <v>523</v>
      </c>
      <c r="G50" s="33" t="s">
        <v>48</v>
      </c>
      <c r="H50" s="33" t="s">
        <v>1</v>
      </c>
      <c r="I50" s="33" t="s">
        <v>1</v>
      </c>
      <c r="J50" s="292"/>
      <c r="K50" s="292"/>
      <c r="L50" s="294"/>
      <c r="M50" s="296"/>
      <c r="N50" s="296"/>
      <c r="O50" s="32" t="s">
        <v>1</v>
      </c>
      <c r="P50" s="32" t="s">
        <v>1</v>
      </c>
      <c r="Q50" s="228" t="s">
        <v>1</v>
      </c>
      <c r="R50" s="229"/>
      <c r="S50" s="45">
        <v>1</v>
      </c>
    </row>
    <row r="51" spans="1:19" s="41" customFormat="1" ht="45" customHeight="1">
      <c r="A51" s="132">
        <f t="shared" si="1"/>
        <v>46</v>
      </c>
      <c r="B51" s="31" t="s">
        <v>868</v>
      </c>
      <c r="C51" s="31" t="s">
        <v>267</v>
      </c>
      <c r="D51" s="31" t="s">
        <v>870</v>
      </c>
      <c r="E51" s="31" t="s">
        <v>74</v>
      </c>
      <c r="F51" s="32" t="s">
        <v>62</v>
      </c>
      <c r="G51" s="32" t="s">
        <v>48</v>
      </c>
      <c r="H51" s="42" t="s">
        <v>1</v>
      </c>
      <c r="I51" s="42" t="s">
        <v>1</v>
      </c>
      <c r="J51" s="34" t="s">
        <v>1079</v>
      </c>
      <c r="K51" s="34" t="s">
        <v>1138</v>
      </c>
      <c r="L51" s="43">
        <v>1</v>
      </c>
      <c r="M51" s="34" t="s">
        <v>52</v>
      </c>
      <c r="N51" s="38" t="s">
        <v>910</v>
      </c>
      <c r="O51" s="32" t="s">
        <v>1</v>
      </c>
      <c r="P51" s="32" t="s">
        <v>1</v>
      </c>
      <c r="Q51" s="228" t="s">
        <v>1</v>
      </c>
      <c r="R51" s="229"/>
      <c r="S51" s="45">
        <v>1</v>
      </c>
    </row>
    <row r="52" spans="1:19" s="41" customFormat="1" ht="45" customHeight="1">
      <c r="A52" s="132">
        <f t="shared" si="1"/>
        <v>47</v>
      </c>
      <c r="B52" s="31" t="s">
        <v>869</v>
      </c>
      <c r="C52" s="31" t="s">
        <v>268</v>
      </c>
      <c r="D52" s="31" t="s">
        <v>870</v>
      </c>
      <c r="E52" s="31" t="s">
        <v>75</v>
      </c>
      <c r="F52" s="32" t="s">
        <v>62</v>
      </c>
      <c r="G52" s="32" t="s">
        <v>48</v>
      </c>
      <c r="H52" s="42" t="s">
        <v>1</v>
      </c>
      <c r="I52" s="42" t="s">
        <v>1</v>
      </c>
      <c r="J52" s="34" t="s">
        <v>1079</v>
      </c>
      <c r="K52" s="34" t="s">
        <v>1138</v>
      </c>
      <c r="L52" s="43">
        <v>1</v>
      </c>
      <c r="M52" s="34" t="s">
        <v>52</v>
      </c>
      <c r="N52" s="32" t="s">
        <v>910</v>
      </c>
      <c r="O52" s="32" t="s">
        <v>1</v>
      </c>
      <c r="P52" s="32" t="s">
        <v>1</v>
      </c>
      <c r="Q52" s="228" t="s">
        <v>1</v>
      </c>
      <c r="R52" s="229"/>
      <c r="S52" s="45">
        <v>1</v>
      </c>
    </row>
    <row r="53" spans="1:19" s="41" customFormat="1" ht="45" customHeight="1">
      <c r="A53" s="132">
        <f t="shared" si="1"/>
        <v>48</v>
      </c>
      <c r="B53" s="31" t="s">
        <v>886</v>
      </c>
      <c r="C53" s="31" t="s">
        <v>1</v>
      </c>
      <c r="D53" s="31" t="s">
        <v>885</v>
      </c>
      <c r="E53" s="32" t="s">
        <v>873</v>
      </c>
      <c r="F53" s="32" t="s">
        <v>523</v>
      </c>
      <c r="G53" s="33" t="s">
        <v>48</v>
      </c>
      <c r="H53" s="33" t="s">
        <v>1</v>
      </c>
      <c r="I53" s="33" t="s">
        <v>1</v>
      </c>
      <c r="J53" s="291" t="s">
        <v>1124</v>
      </c>
      <c r="K53" s="291" t="s">
        <v>1137</v>
      </c>
      <c r="L53" s="293">
        <v>1</v>
      </c>
      <c r="M53" s="295" t="s">
        <v>52</v>
      </c>
      <c r="N53" s="295" t="s">
        <v>910</v>
      </c>
      <c r="O53" s="78" t="s">
        <v>1</v>
      </c>
      <c r="P53" s="32" t="s">
        <v>1</v>
      </c>
      <c r="Q53" s="228" t="s">
        <v>1</v>
      </c>
      <c r="R53" s="229"/>
      <c r="S53" s="45">
        <v>1</v>
      </c>
    </row>
    <row r="54" spans="1:19" s="41" customFormat="1" ht="45" customHeight="1">
      <c r="A54" s="132">
        <f t="shared" si="1"/>
        <v>49</v>
      </c>
      <c r="B54" s="31" t="s">
        <v>887</v>
      </c>
      <c r="C54" s="31" t="s">
        <v>1</v>
      </c>
      <c r="D54" s="31" t="s">
        <v>885</v>
      </c>
      <c r="E54" s="32" t="s">
        <v>874</v>
      </c>
      <c r="F54" s="32" t="s">
        <v>523</v>
      </c>
      <c r="G54" s="33" t="s">
        <v>48</v>
      </c>
      <c r="H54" s="33" t="s">
        <v>1</v>
      </c>
      <c r="I54" s="33" t="s">
        <v>1</v>
      </c>
      <c r="J54" s="292"/>
      <c r="K54" s="292"/>
      <c r="L54" s="294"/>
      <c r="M54" s="296"/>
      <c r="N54" s="296"/>
      <c r="O54" s="78" t="s">
        <v>1</v>
      </c>
      <c r="P54" s="32" t="s">
        <v>1</v>
      </c>
      <c r="Q54" s="228" t="s">
        <v>1</v>
      </c>
      <c r="R54" s="229"/>
      <c r="S54" s="45">
        <v>1</v>
      </c>
    </row>
    <row r="55" spans="1:19" s="41" customFormat="1" ht="45" customHeight="1">
      <c r="A55" s="132">
        <f t="shared" si="1"/>
        <v>50</v>
      </c>
      <c r="B55" s="31" t="s">
        <v>871</v>
      </c>
      <c r="C55" s="31" t="s">
        <v>263</v>
      </c>
      <c r="D55" s="31" t="s">
        <v>885</v>
      </c>
      <c r="E55" s="31" t="s">
        <v>74</v>
      </c>
      <c r="F55" s="32" t="s">
        <v>62</v>
      </c>
      <c r="G55" s="32" t="s">
        <v>48</v>
      </c>
      <c r="H55" s="42" t="s">
        <v>1</v>
      </c>
      <c r="I55" s="42" t="s">
        <v>1</v>
      </c>
      <c r="J55" s="34" t="s">
        <v>1079</v>
      </c>
      <c r="K55" s="34" t="s">
        <v>1138</v>
      </c>
      <c r="L55" s="43">
        <v>1</v>
      </c>
      <c r="M55" s="34" t="s">
        <v>52</v>
      </c>
      <c r="N55" s="38" t="s">
        <v>910</v>
      </c>
      <c r="O55" s="32" t="s">
        <v>1</v>
      </c>
      <c r="P55" s="32" t="s">
        <v>1</v>
      </c>
      <c r="Q55" s="228" t="s">
        <v>1</v>
      </c>
      <c r="R55" s="229"/>
      <c r="S55" s="45">
        <v>1</v>
      </c>
    </row>
    <row r="56" spans="1:19" s="41" customFormat="1" ht="45" customHeight="1">
      <c r="A56" s="132">
        <f t="shared" si="1"/>
        <v>51</v>
      </c>
      <c r="B56" s="31" t="s">
        <v>872</v>
      </c>
      <c r="C56" s="31" t="s">
        <v>264</v>
      </c>
      <c r="D56" s="31" t="s">
        <v>885</v>
      </c>
      <c r="E56" s="31" t="s">
        <v>75</v>
      </c>
      <c r="F56" s="32" t="s">
        <v>62</v>
      </c>
      <c r="G56" s="32" t="s">
        <v>48</v>
      </c>
      <c r="H56" s="42" t="s">
        <v>1</v>
      </c>
      <c r="I56" s="42" t="s">
        <v>1</v>
      </c>
      <c r="J56" s="34" t="s">
        <v>1079</v>
      </c>
      <c r="K56" s="34" t="s">
        <v>1138</v>
      </c>
      <c r="L56" s="43">
        <v>1</v>
      </c>
      <c r="M56" s="34" t="s">
        <v>52</v>
      </c>
      <c r="N56" s="38" t="s">
        <v>910</v>
      </c>
      <c r="O56" s="32" t="s">
        <v>1</v>
      </c>
      <c r="P56" s="32" t="s">
        <v>1</v>
      </c>
      <c r="Q56" s="228" t="s">
        <v>1</v>
      </c>
      <c r="R56" s="229"/>
      <c r="S56" s="45">
        <v>1</v>
      </c>
    </row>
    <row r="57" spans="1:19" s="41" customFormat="1" ht="45" customHeight="1">
      <c r="A57" s="132">
        <f t="shared" si="1"/>
        <v>52</v>
      </c>
      <c r="B57" s="31" t="s">
        <v>829</v>
      </c>
      <c r="C57" s="31" t="s">
        <v>241</v>
      </c>
      <c r="D57" s="31" t="s">
        <v>830</v>
      </c>
      <c r="E57" s="31" t="s">
        <v>123</v>
      </c>
      <c r="F57" s="32" t="s">
        <v>27</v>
      </c>
      <c r="G57" s="32" t="s">
        <v>48</v>
      </c>
      <c r="H57" s="42" t="s">
        <v>1</v>
      </c>
      <c r="I57" s="42" t="s">
        <v>1</v>
      </c>
      <c r="J57" s="34" t="s">
        <v>1096</v>
      </c>
      <c r="K57" s="34" t="s">
        <v>1129</v>
      </c>
      <c r="L57" s="43">
        <v>1</v>
      </c>
      <c r="M57" s="34" t="s">
        <v>52</v>
      </c>
      <c r="N57" s="38" t="s">
        <v>904</v>
      </c>
      <c r="O57" s="32" t="s">
        <v>1</v>
      </c>
      <c r="P57" s="32" t="s">
        <v>1</v>
      </c>
      <c r="Q57" s="228" t="s">
        <v>1</v>
      </c>
      <c r="R57" s="229"/>
      <c r="S57" s="45">
        <v>1</v>
      </c>
    </row>
    <row r="58" spans="1:19" s="41" customFormat="1" ht="45" customHeight="1">
      <c r="A58" s="132">
        <f t="shared" si="1"/>
        <v>53</v>
      </c>
      <c r="B58" s="31" t="s">
        <v>828</v>
      </c>
      <c r="C58" s="31" t="s">
        <v>831</v>
      </c>
      <c r="D58" s="31" t="s">
        <v>830</v>
      </c>
      <c r="E58" s="31" t="s">
        <v>67</v>
      </c>
      <c r="F58" s="32" t="s">
        <v>68</v>
      </c>
      <c r="G58" s="32" t="s">
        <v>48</v>
      </c>
      <c r="H58" s="42" t="s">
        <v>1</v>
      </c>
      <c r="I58" s="42" t="s">
        <v>1</v>
      </c>
      <c r="J58" s="34" t="s">
        <v>1127</v>
      </c>
      <c r="K58" s="34" t="s">
        <v>1131</v>
      </c>
      <c r="L58" s="43">
        <v>1</v>
      </c>
      <c r="M58" s="34" t="s">
        <v>52</v>
      </c>
      <c r="N58" s="38" t="s">
        <v>904</v>
      </c>
      <c r="O58" s="32" t="s">
        <v>1</v>
      </c>
      <c r="P58" s="32" t="s">
        <v>1</v>
      </c>
      <c r="Q58" s="228" t="s">
        <v>1247</v>
      </c>
      <c r="R58" s="229"/>
      <c r="S58" s="45">
        <v>1</v>
      </c>
    </row>
    <row r="59" spans="1:19" s="41" customFormat="1" ht="45" customHeight="1">
      <c r="A59" s="132">
        <f t="shared" si="1"/>
        <v>54</v>
      </c>
      <c r="B59" s="31" t="s">
        <v>1193</v>
      </c>
      <c r="C59" s="31" t="s">
        <v>1194</v>
      </c>
      <c r="D59" s="31" t="s">
        <v>1195</v>
      </c>
      <c r="E59" s="31" t="s">
        <v>288</v>
      </c>
      <c r="F59" s="32" t="s">
        <v>252</v>
      </c>
      <c r="G59" s="32" t="s">
        <v>1177</v>
      </c>
      <c r="H59" s="42"/>
      <c r="I59" s="42"/>
      <c r="J59" s="34" t="s">
        <v>1059</v>
      </c>
      <c r="K59" s="34" t="s">
        <v>1178</v>
      </c>
      <c r="L59" s="43">
        <v>1</v>
      </c>
      <c r="M59" s="34" t="s">
        <v>1198</v>
      </c>
      <c r="N59" s="38" t="s">
        <v>904</v>
      </c>
      <c r="O59" s="78" t="s">
        <v>1</v>
      </c>
      <c r="P59" s="78" t="s">
        <v>1</v>
      </c>
      <c r="Q59" s="228" t="s">
        <v>1</v>
      </c>
      <c r="R59" s="229"/>
      <c r="S59" s="45">
        <v>1</v>
      </c>
    </row>
    <row r="60" spans="1:19" s="41" customFormat="1" ht="45" customHeight="1">
      <c r="A60" s="132">
        <f t="shared" si="1"/>
        <v>55</v>
      </c>
      <c r="B60" s="31" t="s">
        <v>1196</v>
      </c>
      <c r="C60" s="31" t="s">
        <v>1197</v>
      </c>
      <c r="D60" s="31" t="s">
        <v>1195</v>
      </c>
      <c r="E60" s="31" t="s">
        <v>66</v>
      </c>
      <c r="F60" s="31" t="s">
        <v>29</v>
      </c>
      <c r="G60" s="32" t="s">
        <v>1181</v>
      </c>
      <c r="H60" s="42"/>
      <c r="I60" s="42"/>
      <c r="J60" s="34" t="s">
        <v>1092</v>
      </c>
      <c r="K60" s="34" t="s">
        <v>1106</v>
      </c>
      <c r="L60" s="43">
        <v>1</v>
      </c>
      <c r="M60" s="34" t="s">
        <v>52</v>
      </c>
      <c r="N60" s="38" t="s">
        <v>904</v>
      </c>
      <c r="O60" s="78" t="s">
        <v>1</v>
      </c>
      <c r="P60" s="78" t="s">
        <v>1</v>
      </c>
      <c r="Q60" s="228" t="s">
        <v>1</v>
      </c>
      <c r="R60" s="229"/>
      <c r="S60" s="45">
        <v>1</v>
      </c>
    </row>
    <row r="61" spans="1:19" s="41" customFormat="1" ht="43.5" customHeight="1">
      <c r="A61" s="132">
        <f t="shared" si="1"/>
        <v>56</v>
      </c>
      <c r="B61" s="31" t="s">
        <v>988</v>
      </c>
      <c r="C61" s="31" t="s">
        <v>1</v>
      </c>
      <c r="D61" s="31" t="s">
        <v>984</v>
      </c>
      <c r="E61" s="31" t="s">
        <v>919</v>
      </c>
      <c r="F61" s="32" t="s">
        <v>1</v>
      </c>
      <c r="G61" s="32" t="s">
        <v>1</v>
      </c>
      <c r="H61" s="42" t="s">
        <v>1</v>
      </c>
      <c r="I61" s="42" t="s">
        <v>1</v>
      </c>
      <c r="J61" s="34" t="s">
        <v>1</v>
      </c>
      <c r="K61" s="34" t="s">
        <v>404</v>
      </c>
      <c r="L61" s="43">
        <v>1</v>
      </c>
      <c r="M61" s="34" t="s">
        <v>65</v>
      </c>
      <c r="N61" s="38" t="s">
        <v>1</v>
      </c>
      <c r="O61" s="32" t="s">
        <v>407</v>
      </c>
      <c r="P61" s="32" t="s">
        <v>406</v>
      </c>
      <c r="Q61" s="228" t="s">
        <v>405</v>
      </c>
      <c r="R61" s="229"/>
      <c r="S61" s="45">
        <v>1</v>
      </c>
    </row>
    <row r="62" spans="1:19" s="41" customFormat="1" ht="45" customHeight="1">
      <c r="A62" s="132">
        <f t="shared" si="1"/>
        <v>57</v>
      </c>
      <c r="B62" s="31" t="s">
        <v>987</v>
      </c>
      <c r="C62" s="31" t="s">
        <v>242</v>
      </c>
      <c r="D62" s="31" t="s">
        <v>984</v>
      </c>
      <c r="E62" s="31" t="s">
        <v>64</v>
      </c>
      <c r="F62" s="32" t="s">
        <v>49</v>
      </c>
      <c r="G62" s="32" t="s">
        <v>48</v>
      </c>
      <c r="H62" s="42" t="s">
        <v>1</v>
      </c>
      <c r="I62" s="42" t="s">
        <v>1</v>
      </c>
      <c r="J62" s="34" t="s">
        <v>1096</v>
      </c>
      <c r="K62" s="34" t="s">
        <v>1130</v>
      </c>
      <c r="L62" s="43">
        <v>1</v>
      </c>
      <c r="M62" s="34" t="s">
        <v>52</v>
      </c>
      <c r="N62" s="38" t="s">
        <v>904</v>
      </c>
      <c r="O62" s="32" t="s">
        <v>1</v>
      </c>
      <c r="P62" s="32" t="s">
        <v>1</v>
      </c>
      <c r="Q62" s="228" t="s">
        <v>1</v>
      </c>
      <c r="R62" s="229"/>
      <c r="S62" s="45">
        <v>1</v>
      </c>
    </row>
    <row r="63" spans="1:19" s="41" customFormat="1" ht="45" customHeight="1">
      <c r="A63" s="132">
        <f t="shared" si="1"/>
        <v>58</v>
      </c>
      <c r="B63" s="31" t="s">
        <v>832</v>
      </c>
      <c r="C63" s="31" t="s">
        <v>811</v>
      </c>
      <c r="D63" s="31" t="s">
        <v>835</v>
      </c>
      <c r="E63" s="31" t="s">
        <v>123</v>
      </c>
      <c r="F63" s="32" t="s">
        <v>27</v>
      </c>
      <c r="G63" s="32" t="s">
        <v>48</v>
      </c>
      <c r="H63" s="42" t="s">
        <v>1</v>
      </c>
      <c r="I63" s="42" t="s">
        <v>1</v>
      </c>
      <c r="J63" s="34" t="s">
        <v>1096</v>
      </c>
      <c r="K63" s="34" t="s">
        <v>1129</v>
      </c>
      <c r="L63" s="43">
        <v>1</v>
      </c>
      <c r="M63" s="34" t="s">
        <v>52</v>
      </c>
      <c r="N63" s="38" t="s">
        <v>904</v>
      </c>
      <c r="O63" s="32" t="s">
        <v>1</v>
      </c>
      <c r="P63" s="32" t="s">
        <v>1</v>
      </c>
      <c r="Q63" s="228" t="s">
        <v>1</v>
      </c>
      <c r="R63" s="229"/>
      <c r="S63" s="45">
        <v>1</v>
      </c>
    </row>
    <row r="64" spans="1:19" s="41" customFormat="1" ht="45" customHeight="1">
      <c r="A64" s="132">
        <f t="shared" si="1"/>
        <v>59</v>
      </c>
      <c r="B64" s="31" t="s">
        <v>833</v>
      </c>
      <c r="C64" s="31" t="s">
        <v>834</v>
      </c>
      <c r="D64" s="31" t="s">
        <v>835</v>
      </c>
      <c r="E64" s="31" t="s">
        <v>67</v>
      </c>
      <c r="F64" s="32" t="s">
        <v>68</v>
      </c>
      <c r="G64" s="32" t="s">
        <v>48</v>
      </c>
      <c r="H64" s="42" t="s">
        <v>1</v>
      </c>
      <c r="I64" s="42" t="s">
        <v>1</v>
      </c>
      <c r="J64" s="34" t="s">
        <v>1127</v>
      </c>
      <c r="K64" s="34" t="s">
        <v>1131</v>
      </c>
      <c r="L64" s="43">
        <v>1</v>
      </c>
      <c r="M64" s="34" t="s">
        <v>52</v>
      </c>
      <c r="N64" s="38" t="s">
        <v>904</v>
      </c>
      <c r="O64" s="32" t="s">
        <v>1</v>
      </c>
      <c r="P64" s="32" t="s">
        <v>1</v>
      </c>
      <c r="Q64" s="228" t="s">
        <v>1247</v>
      </c>
      <c r="R64" s="229"/>
      <c r="S64" s="45">
        <v>1</v>
      </c>
    </row>
    <row r="65" spans="1:19" s="41" customFormat="1" ht="45" customHeight="1">
      <c r="A65" s="132">
        <f t="shared" si="1"/>
        <v>60</v>
      </c>
      <c r="B65" s="31" t="s">
        <v>1199</v>
      </c>
      <c r="C65" s="31" t="s">
        <v>1200</v>
      </c>
      <c r="D65" s="31" t="s">
        <v>1201</v>
      </c>
      <c r="E65" s="31" t="s">
        <v>288</v>
      </c>
      <c r="F65" s="32" t="s">
        <v>252</v>
      </c>
      <c r="G65" s="32" t="s">
        <v>1177</v>
      </c>
      <c r="H65" s="42"/>
      <c r="I65" s="42"/>
      <c r="J65" s="34" t="s">
        <v>1059</v>
      </c>
      <c r="K65" s="34" t="s">
        <v>1178</v>
      </c>
      <c r="L65" s="43">
        <v>1</v>
      </c>
      <c r="M65" s="34" t="s">
        <v>52</v>
      </c>
      <c r="N65" s="38" t="s">
        <v>904</v>
      </c>
      <c r="O65" s="78" t="s">
        <v>1</v>
      </c>
      <c r="P65" s="78" t="s">
        <v>1</v>
      </c>
      <c r="Q65" s="228" t="s">
        <v>1</v>
      </c>
      <c r="R65" s="229"/>
      <c r="S65" s="45">
        <v>1</v>
      </c>
    </row>
    <row r="66" spans="1:19" s="41" customFormat="1" ht="45" customHeight="1">
      <c r="A66" s="132">
        <f t="shared" si="1"/>
        <v>61</v>
      </c>
      <c r="B66" s="31" t="s">
        <v>836</v>
      </c>
      <c r="C66" s="31" t="s">
        <v>271</v>
      </c>
      <c r="D66" s="31" t="s">
        <v>838</v>
      </c>
      <c r="E66" s="31" t="s">
        <v>123</v>
      </c>
      <c r="F66" s="32" t="s">
        <v>27</v>
      </c>
      <c r="G66" s="32" t="s">
        <v>48</v>
      </c>
      <c r="H66" s="42" t="s">
        <v>1</v>
      </c>
      <c r="I66" s="42" t="s">
        <v>1</v>
      </c>
      <c r="J66" s="34" t="s">
        <v>1096</v>
      </c>
      <c r="K66" s="34" t="s">
        <v>1129</v>
      </c>
      <c r="L66" s="43">
        <v>1</v>
      </c>
      <c r="M66" s="34" t="s">
        <v>52</v>
      </c>
      <c r="N66" s="38" t="s">
        <v>909</v>
      </c>
      <c r="O66" s="32" t="s">
        <v>1</v>
      </c>
      <c r="P66" s="32" t="s">
        <v>1</v>
      </c>
      <c r="Q66" s="228" t="s">
        <v>1</v>
      </c>
      <c r="R66" s="229"/>
      <c r="S66" s="45">
        <v>1</v>
      </c>
    </row>
    <row r="67" spans="1:19" s="41" customFormat="1" ht="45" customHeight="1">
      <c r="A67" s="132">
        <f t="shared" si="1"/>
        <v>62</v>
      </c>
      <c r="B67" s="31" t="s">
        <v>837</v>
      </c>
      <c r="C67" s="31" t="s">
        <v>840</v>
      </c>
      <c r="D67" s="31" t="s">
        <v>839</v>
      </c>
      <c r="E67" s="31" t="s">
        <v>67</v>
      </c>
      <c r="F67" s="32" t="s">
        <v>68</v>
      </c>
      <c r="G67" s="32" t="s">
        <v>48</v>
      </c>
      <c r="H67" s="42" t="s">
        <v>1</v>
      </c>
      <c r="I67" s="42" t="s">
        <v>1</v>
      </c>
      <c r="J67" s="34" t="s">
        <v>1127</v>
      </c>
      <c r="K67" s="34" t="s">
        <v>1131</v>
      </c>
      <c r="L67" s="43">
        <v>1</v>
      </c>
      <c r="M67" s="34" t="s">
        <v>52</v>
      </c>
      <c r="N67" s="38" t="s">
        <v>909</v>
      </c>
      <c r="O67" s="32" t="s">
        <v>1</v>
      </c>
      <c r="P67" s="32" t="s">
        <v>1</v>
      </c>
      <c r="Q67" s="228" t="s">
        <v>1250</v>
      </c>
      <c r="R67" s="229"/>
      <c r="S67" s="45">
        <v>1</v>
      </c>
    </row>
    <row r="68" spans="1:19" s="41" customFormat="1" ht="45" customHeight="1">
      <c r="A68" s="132">
        <f t="shared" si="1"/>
        <v>63</v>
      </c>
      <c r="B68" s="31" t="s">
        <v>1202</v>
      </c>
      <c r="C68" s="31" t="s">
        <v>1203</v>
      </c>
      <c r="D68" s="31" t="s">
        <v>1204</v>
      </c>
      <c r="E68" s="31" t="s">
        <v>288</v>
      </c>
      <c r="F68" s="32" t="s">
        <v>252</v>
      </c>
      <c r="G68" s="32" t="s">
        <v>1177</v>
      </c>
      <c r="H68" s="42"/>
      <c r="I68" s="42"/>
      <c r="J68" s="34" t="s">
        <v>1059</v>
      </c>
      <c r="K68" s="34" t="s">
        <v>1178</v>
      </c>
      <c r="L68" s="43"/>
      <c r="M68" s="34" t="s">
        <v>52</v>
      </c>
      <c r="N68" s="38" t="s">
        <v>909</v>
      </c>
      <c r="O68" s="78" t="s">
        <v>1</v>
      </c>
      <c r="P68" s="78" t="s">
        <v>1</v>
      </c>
      <c r="Q68" s="228" t="s">
        <v>1</v>
      </c>
      <c r="R68" s="229"/>
      <c r="S68" s="45">
        <v>1</v>
      </c>
    </row>
    <row r="69" spans="1:19" s="41" customFormat="1" ht="45" customHeight="1">
      <c r="A69" s="132">
        <f t="shared" si="1"/>
        <v>64</v>
      </c>
      <c r="B69" s="31" t="s">
        <v>1205</v>
      </c>
      <c r="C69" s="31" t="s">
        <v>1206</v>
      </c>
      <c r="D69" s="31" t="s">
        <v>1204</v>
      </c>
      <c r="E69" s="31" t="s">
        <v>66</v>
      </c>
      <c r="F69" s="31" t="s">
        <v>29</v>
      </c>
      <c r="G69" s="32" t="s">
        <v>1181</v>
      </c>
      <c r="H69" s="42"/>
      <c r="I69" s="42"/>
      <c r="J69" s="34" t="s">
        <v>1092</v>
      </c>
      <c r="K69" s="34" t="s">
        <v>1106</v>
      </c>
      <c r="L69" s="43"/>
      <c r="M69" s="34" t="s">
        <v>52</v>
      </c>
      <c r="N69" s="38" t="s">
        <v>909</v>
      </c>
      <c r="O69" s="78" t="s">
        <v>1</v>
      </c>
      <c r="P69" s="78" t="s">
        <v>1</v>
      </c>
      <c r="Q69" s="228" t="s">
        <v>1</v>
      </c>
      <c r="R69" s="229"/>
      <c r="S69" s="45">
        <v>1</v>
      </c>
    </row>
    <row r="70" spans="1:19" s="41" customFormat="1" ht="45" customHeight="1">
      <c r="A70" s="132">
        <f t="shared" si="1"/>
        <v>65</v>
      </c>
      <c r="B70" s="31" t="s">
        <v>989</v>
      </c>
      <c r="C70" s="31" t="s">
        <v>812</v>
      </c>
      <c r="D70" s="31" t="s">
        <v>985</v>
      </c>
      <c r="E70" s="31" t="s">
        <v>64</v>
      </c>
      <c r="F70" s="32" t="s">
        <v>49</v>
      </c>
      <c r="G70" s="32" t="s">
        <v>48</v>
      </c>
      <c r="H70" s="42" t="s">
        <v>1</v>
      </c>
      <c r="I70" s="42" t="s">
        <v>1</v>
      </c>
      <c r="J70" s="34" t="s">
        <v>1096</v>
      </c>
      <c r="K70" s="34" t="s">
        <v>1130</v>
      </c>
      <c r="L70" s="43">
        <v>1</v>
      </c>
      <c r="M70" s="34" t="s">
        <v>52</v>
      </c>
      <c r="N70" s="38" t="s">
        <v>909</v>
      </c>
      <c r="O70" s="32" t="s">
        <v>1</v>
      </c>
      <c r="P70" s="32" t="s">
        <v>1</v>
      </c>
      <c r="Q70" s="228" t="s">
        <v>1</v>
      </c>
      <c r="R70" s="229"/>
      <c r="S70" s="45">
        <v>1</v>
      </c>
    </row>
    <row r="71" spans="1:19" s="41" customFormat="1" ht="45" customHeight="1">
      <c r="A71" s="132">
        <f t="shared" si="1"/>
        <v>66</v>
      </c>
      <c r="B71" s="31" t="s">
        <v>990</v>
      </c>
      <c r="C71" s="31" t="s">
        <v>1</v>
      </c>
      <c r="D71" s="31" t="s">
        <v>985</v>
      </c>
      <c r="E71" s="31" t="s">
        <v>919</v>
      </c>
      <c r="F71" s="32" t="s">
        <v>1</v>
      </c>
      <c r="G71" s="32" t="s">
        <v>1</v>
      </c>
      <c r="H71" s="42" t="s">
        <v>1</v>
      </c>
      <c r="I71" s="42" t="s">
        <v>1</v>
      </c>
      <c r="J71" s="34" t="s">
        <v>1</v>
      </c>
      <c r="K71" s="34" t="s">
        <v>404</v>
      </c>
      <c r="L71" s="43">
        <v>1</v>
      </c>
      <c r="M71" s="34" t="s">
        <v>65</v>
      </c>
      <c r="N71" s="38" t="s">
        <v>1</v>
      </c>
      <c r="O71" s="32" t="s">
        <v>407</v>
      </c>
      <c r="P71" s="32" t="s">
        <v>406</v>
      </c>
      <c r="Q71" s="228" t="s">
        <v>405</v>
      </c>
      <c r="R71" s="229"/>
      <c r="S71" s="45">
        <v>1</v>
      </c>
    </row>
    <row r="72" spans="1:19" s="41" customFormat="1" ht="45" customHeight="1">
      <c r="A72" s="132">
        <f t="shared" si="1"/>
        <v>67</v>
      </c>
      <c r="B72" s="31" t="s">
        <v>818</v>
      </c>
      <c r="C72" s="31" t="s">
        <v>235</v>
      </c>
      <c r="D72" s="31" t="s">
        <v>819</v>
      </c>
      <c r="E72" s="31" t="s">
        <v>66</v>
      </c>
      <c r="F72" s="32" t="s">
        <v>29</v>
      </c>
      <c r="G72" s="32" t="s">
        <v>48</v>
      </c>
      <c r="H72" s="42" t="s">
        <v>1</v>
      </c>
      <c r="I72" s="42" t="s">
        <v>1</v>
      </c>
      <c r="J72" s="34" t="s">
        <v>1092</v>
      </c>
      <c r="K72" s="34" t="s">
        <v>1132</v>
      </c>
      <c r="L72" s="43">
        <v>1</v>
      </c>
      <c r="M72" s="34" t="s">
        <v>52</v>
      </c>
      <c r="N72" s="38" t="s">
        <v>904</v>
      </c>
      <c r="O72" s="32" t="s">
        <v>1</v>
      </c>
      <c r="P72" s="32" t="s">
        <v>1</v>
      </c>
      <c r="Q72" s="228" t="s">
        <v>1</v>
      </c>
      <c r="R72" s="229"/>
      <c r="S72" s="45">
        <v>1</v>
      </c>
    </row>
    <row r="73" spans="1:19" s="41" customFormat="1" ht="45" customHeight="1">
      <c r="A73" s="132">
        <f t="shared" si="1"/>
        <v>68</v>
      </c>
      <c r="B73" s="31" t="s">
        <v>941</v>
      </c>
      <c r="C73" s="31" t="s">
        <v>237</v>
      </c>
      <c r="D73" s="31" t="s">
        <v>819</v>
      </c>
      <c r="E73" s="31" t="s">
        <v>926</v>
      </c>
      <c r="F73" s="32" t="s">
        <v>378</v>
      </c>
      <c r="G73" s="32" t="s">
        <v>48</v>
      </c>
      <c r="H73" s="33" t="s">
        <v>1</v>
      </c>
      <c r="I73" s="33" t="s">
        <v>1</v>
      </c>
      <c r="J73" s="34" t="s">
        <v>414</v>
      </c>
      <c r="K73" s="34" t="s">
        <v>1133</v>
      </c>
      <c r="L73" s="35">
        <v>1</v>
      </c>
      <c r="M73" s="34" t="s">
        <v>52</v>
      </c>
      <c r="N73" s="38" t="s">
        <v>904</v>
      </c>
      <c r="O73" s="32" t="s">
        <v>1</v>
      </c>
      <c r="P73" s="32" t="s">
        <v>1</v>
      </c>
      <c r="Q73" s="228" t="s">
        <v>1</v>
      </c>
      <c r="R73" s="229"/>
      <c r="S73" s="45">
        <v>1</v>
      </c>
    </row>
    <row r="74" spans="1:19" s="41" customFormat="1" ht="45" customHeight="1">
      <c r="A74" s="132">
        <f t="shared" si="1"/>
        <v>69</v>
      </c>
      <c r="B74" s="31" t="s">
        <v>820</v>
      </c>
      <c r="C74" s="31" t="s">
        <v>236</v>
      </c>
      <c r="D74" s="31" t="s">
        <v>819</v>
      </c>
      <c r="E74" s="31" t="s">
        <v>924</v>
      </c>
      <c r="F74" s="32" t="s">
        <v>49</v>
      </c>
      <c r="G74" s="32" t="s">
        <v>48</v>
      </c>
      <c r="H74" s="33" t="s">
        <v>1</v>
      </c>
      <c r="I74" s="33" t="s">
        <v>1</v>
      </c>
      <c r="J74" s="34" t="s">
        <v>1079</v>
      </c>
      <c r="K74" s="34" t="s">
        <v>1134</v>
      </c>
      <c r="L74" s="35">
        <v>1</v>
      </c>
      <c r="M74" s="34" t="s">
        <v>52</v>
      </c>
      <c r="N74" s="38" t="s">
        <v>904</v>
      </c>
      <c r="O74" s="32" t="s">
        <v>1</v>
      </c>
      <c r="P74" s="32" t="s">
        <v>1</v>
      </c>
      <c r="Q74" s="228" t="s">
        <v>1</v>
      </c>
      <c r="R74" s="229"/>
      <c r="S74" s="45">
        <v>1</v>
      </c>
    </row>
    <row r="75" spans="1:19" s="41" customFormat="1" ht="45" customHeight="1">
      <c r="A75" s="132">
        <f t="shared" si="1"/>
        <v>70</v>
      </c>
      <c r="B75" s="31" t="s">
        <v>929</v>
      </c>
      <c r="C75" s="31" t="s">
        <v>1</v>
      </c>
      <c r="D75" s="31" t="s">
        <v>819</v>
      </c>
      <c r="E75" s="31" t="s">
        <v>919</v>
      </c>
      <c r="F75" s="32" t="s">
        <v>1</v>
      </c>
      <c r="G75" s="32" t="s">
        <v>1</v>
      </c>
      <c r="H75" s="42" t="s">
        <v>1</v>
      </c>
      <c r="I75" s="42" t="s">
        <v>1</v>
      </c>
      <c r="J75" s="34" t="s">
        <v>1</v>
      </c>
      <c r="K75" s="34" t="s">
        <v>404</v>
      </c>
      <c r="L75" s="43">
        <v>1</v>
      </c>
      <c r="M75" s="34" t="s">
        <v>65</v>
      </c>
      <c r="N75" s="38" t="s">
        <v>1</v>
      </c>
      <c r="O75" s="32" t="s">
        <v>407</v>
      </c>
      <c r="P75" s="32" t="s">
        <v>406</v>
      </c>
      <c r="Q75" s="228" t="s">
        <v>405</v>
      </c>
      <c r="R75" s="229"/>
      <c r="S75" s="45">
        <v>1</v>
      </c>
    </row>
    <row r="76" spans="1:19" s="41" customFormat="1" ht="45" customHeight="1">
      <c r="A76" s="132">
        <f t="shared" si="1"/>
        <v>71</v>
      </c>
      <c r="B76" s="31" t="s">
        <v>827</v>
      </c>
      <c r="C76" s="31" t="s">
        <v>1</v>
      </c>
      <c r="D76" s="31" t="s">
        <v>819</v>
      </c>
      <c r="E76" s="31" t="s">
        <v>925</v>
      </c>
      <c r="F76" s="32" t="s">
        <v>49</v>
      </c>
      <c r="G76" s="32" t="s">
        <v>48</v>
      </c>
      <c r="H76" s="33" t="s">
        <v>1</v>
      </c>
      <c r="I76" s="33" t="s">
        <v>1</v>
      </c>
      <c r="J76" s="34" t="s">
        <v>418</v>
      </c>
      <c r="K76" s="34" t="s">
        <v>419</v>
      </c>
      <c r="L76" s="35">
        <v>1</v>
      </c>
      <c r="M76" s="34" t="s">
        <v>65</v>
      </c>
      <c r="N76" s="38" t="s">
        <v>904</v>
      </c>
      <c r="O76" s="32" t="s">
        <v>1</v>
      </c>
      <c r="P76" s="32" t="s">
        <v>888</v>
      </c>
      <c r="Q76" s="228" t="s">
        <v>1</v>
      </c>
      <c r="R76" s="229"/>
      <c r="S76" s="45">
        <v>1</v>
      </c>
    </row>
    <row r="77" spans="1:19" s="41" customFormat="1" ht="45.75" customHeight="1">
      <c r="A77" s="132">
        <f t="shared" si="1"/>
        <v>72</v>
      </c>
      <c r="B77" s="31" t="s">
        <v>930</v>
      </c>
      <c r="C77" s="31" t="s">
        <v>1</v>
      </c>
      <c r="D77" s="31" t="s">
        <v>819</v>
      </c>
      <c r="E77" s="31" t="s">
        <v>919</v>
      </c>
      <c r="F77" s="32" t="s">
        <v>1</v>
      </c>
      <c r="G77" s="32" t="s">
        <v>1</v>
      </c>
      <c r="H77" s="42" t="s">
        <v>1</v>
      </c>
      <c r="I77" s="42" t="s">
        <v>1</v>
      </c>
      <c r="J77" s="34" t="s">
        <v>1</v>
      </c>
      <c r="K77" s="34" t="s">
        <v>404</v>
      </c>
      <c r="L77" s="43">
        <v>1</v>
      </c>
      <c r="M77" s="34" t="s">
        <v>65</v>
      </c>
      <c r="N77" s="38" t="s">
        <v>1</v>
      </c>
      <c r="O77" s="32" t="s">
        <v>407</v>
      </c>
      <c r="P77" s="32" t="s">
        <v>406</v>
      </c>
      <c r="Q77" s="228" t="s">
        <v>405</v>
      </c>
      <c r="R77" s="229"/>
      <c r="S77" s="45">
        <v>1</v>
      </c>
    </row>
    <row r="78" spans="1:19" s="41" customFormat="1" ht="45" customHeight="1">
      <c r="A78" s="132">
        <f t="shared" si="1"/>
        <v>73</v>
      </c>
      <c r="B78" s="31" t="s">
        <v>922</v>
      </c>
      <c r="C78" s="31" t="s">
        <v>1</v>
      </c>
      <c r="D78" s="31" t="s">
        <v>819</v>
      </c>
      <c r="E78" s="31" t="s">
        <v>1047</v>
      </c>
      <c r="F78" s="32" t="s">
        <v>49</v>
      </c>
      <c r="G78" s="32" t="s">
        <v>48</v>
      </c>
      <c r="H78" s="33" t="s">
        <v>1</v>
      </c>
      <c r="I78" s="33" t="s">
        <v>1</v>
      </c>
      <c r="J78" s="34" t="s">
        <v>418</v>
      </c>
      <c r="K78" s="34" t="s">
        <v>419</v>
      </c>
      <c r="L78" s="35">
        <v>1</v>
      </c>
      <c r="M78" s="34" t="s">
        <v>65</v>
      </c>
      <c r="N78" s="38" t="s">
        <v>904</v>
      </c>
      <c r="O78" s="32" t="s">
        <v>1</v>
      </c>
      <c r="P78" s="32" t="s">
        <v>888</v>
      </c>
      <c r="Q78" s="228" t="s">
        <v>1</v>
      </c>
      <c r="R78" s="229"/>
      <c r="S78" s="45">
        <v>1</v>
      </c>
    </row>
    <row r="79" spans="1:19" s="41" customFormat="1" ht="45" customHeight="1">
      <c r="A79" s="132">
        <f t="shared" si="1"/>
        <v>74</v>
      </c>
      <c r="B79" s="31" t="s">
        <v>931</v>
      </c>
      <c r="C79" s="31" t="s">
        <v>1</v>
      </c>
      <c r="D79" s="31" t="s">
        <v>819</v>
      </c>
      <c r="E79" s="31" t="s">
        <v>919</v>
      </c>
      <c r="F79" s="32" t="s">
        <v>1</v>
      </c>
      <c r="G79" s="32" t="s">
        <v>1</v>
      </c>
      <c r="H79" s="42" t="s">
        <v>1</v>
      </c>
      <c r="I79" s="42" t="s">
        <v>1</v>
      </c>
      <c r="J79" s="34" t="s">
        <v>1</v>
      </c>
      <c r="K79" s="34" t="s">
        <v>404</v>
      </c>
      <c r="L79" s="43">
        <v>1</v>
      </c>
      <c r="M79" s="34" t="s">
        <v>65</v>
      </c>
      <c r="N79" s="38" t="s">
        <v>1</v>
      </c>
      <c r="O79" s="32" t="s">
        <v>407</v>
      </c>
      <c r="P79" s="32" t="s">
        <v>406</v>
      </c>
      <c r="Q79" s="228" t="s">
        <v>405</v>
      </c>
      <c r="R79" s="229"/>
      <c r="S79" s="45">
        <v>1</v>
      </c>
    </row>
    <row r="80" spans="1:19" s="41" customFormat="1" ht="45" customHeight="1">
      <c r="A80" s="132">
        <f t="shared" ref="A80:A100" si="2">A79+1</f>
        <v>75</v>
      </c>
      <c r="B80" s="31" t="s">
        <v>826</v>
      </c>
      <c r="C80" s="31" t="s">
        <v>238</v>
      </c>
      <c r="D80" s="31" t="s">
        <v>819</v>
      </c>
      <c r="E80" s="31" t="s">
        <v>1043</v>
      </c>
      <c r="F80" s="32" t="s">
        <v>80</v>
      </c>
      <c r="G80" s="32" t="s">
        <v>48</v>
      </c>
      <c r="H80" s="33" t="s">
        <v>1</v>
      </c>
      <c r="I80" s="33" t="s">
        <v>1</v>
      </c>
      <c r="J80" s="34" t="s">
        <v>1079</v>
      </c>
      <c r="K80" s="34" t="s">
        <v>1135</v>
      </c>
      <c r="L80" s="35">
        <v>1</v>
      </c>
      <c r="M80" s="34" t="s">
        <v>52</v>
      </c>
      <c r="N80" s="38" t="s">
        <v>904</v>
      </c>
      <c r="O80" s="32" t="s">
        <v>1</v>
      </c>
      <c r="P80" s="32" t="s">
        <v>1</v>
      </c>
      <c r="Q80" s="228" t="s">
        <v>1</v>
      </c>
      <c r="R80" s="229"/>
      <c r="S80" s="45">
        <v>1</v>
      </c>
    </row>
    <row r="81" spans="1:19" s="41" customFormat="1" ht="45" customHeight="1">
      <c r="A81" s="132">
        <f t="shared" si="2"/>
        <v>76</v>
      </c>
      <c r="B81" s="31" t="s">
        <v>824</v>
      </c>
      <c r="C81" s="31" t="s">
        <v>347</v>
      </c>
      <c r="D81" s="31" t="s">
        <v>819</v>
      </c>
      <c r="E81" s="31" t="s">
        <v>148</v>
      </c>
      <c r="F81" s="32" t="s">
        <v>49</v>
      </c>
      <c r="G81" s="32" t="s">
        <v>48</v>
      </c>
      <c r="H81" s="33" t="s">
        <v>1</v>
      </c>
      <c r="I81" s="33" t="s">
        <v>1</v>
      </c>
      <c r="J81" s="34" t="s">
        <v>1079</v>
      </c>
      <c r="K81" s="34" t="s">
        <v>1136</v>
      </c>
      <c r="L81" s="35">
        <v>1</v>
      </c>
      <c r="M81" s="34" t="s">
        <v>52</v>
      </c>
      <c r="N81" s="38" t="s">
        <v>904</v>
      </c>
      <c r="O81" s="32" t="s">
        <v>1</v>
      </c>
      <c r="P81" s="32" t="s">
        <v>1</v>
      </c>
      <c r="Q81" s="228" t="s">
        <v>825</v>
      </c>
      <c r="R81" s="229"/>
      <c r="S81" s="45">
        <v>1</v>
      </c>
    </row>
    <row r="82" spans="1:19" s="41" customFormat="1" ht="45" customHeight="1">
      <c r="A82" s="132">
        <f t="shared" si="2"/>
        <v>77</v>
      </c>
      <c r="B82" s="31" t="s">
        <v>821</v>
      </c>
      <c r="C82" s="31" t="s">
        <v>348</v>
      </c>
      <c r="D82" s="31" t="s">
        <v>822</v>
      </c>
      <c r="E82" s="31" t="s">
        <v>149</v>
      </c>
      <c r="F82" s="32" t="s">
        <v>49</v>
      </c>
      <c r="G82" s="32" t="s">
        <v>48</v>
      </c>
      <c r="H82" s="33" t="s">
        <v>1</v>
      </c>
      <c r="I82" s="33" t="s">
        <v>1</v>
      </c>
      <c r="J82" s="34" t="s">
        <v>1079</v>
      </c>
      <c r="K82" s="34" t="s">
        <v>1136</v>
      </c>
      <c r="L82" s="35">
        <v>1</v>
      </c>
      <c r="M82" s="34" t="s">
        <v>52</v>
      </c>
      <c r="N82" s="38" t="s">
        <v>904</v>
      </c>
      <c r="O82" s="32" t="s">
        <v>1</v>
      </c>
      <c r="P82" s="32" t="s">
        <v>1</v>
      </c>
      <c r="Q82" s="228" t="s">
        <v>823</v>
      </c>
      <c r="R82" s="229"/>
      <c r="S82" s="45">
        <v>1</v>
      </c>
    </row>
    <row r="83" spans="1:19" s="41" customFormat="1" ht="42" customHeight="1">
      <c r="A83" s="132">
        <f t="shared" si="2"/>
        <v>78</v>
      </c>
      <c r="B83" s="31" t="s">
        <v>980</v>
      </c>
      <c r="C83" s="31" t="s">
        <v>1</v>
      </c>
      <c r="D83" s="31" t="s">
        <v>819</v>
      </c>
      <c r="E83" s="31" t="s">
        <v>376</v>
      </c>
      <c r="F83" s="32" t="s">
        <v>91</v>
      </c>
      <c r="G83" s="32" t="s">
        <v>83</v>
      </c>
      <c r="H83" s="33" t="s">
        <v>340</v>
      </c>
      <c r="I83" s="33" t="s">
        <v>92</v>
      </c>
      <c r="J83" s="34" t="s">
        <v>93</v>
      </c>
      <c r="K83" s="34" t="s">
        <v>94</v>
      </c>
      <c r="L83" s="35">
        <v>1</v>
      </c>
      <c r="M83" s="34" t="s">
        <v>65</v>
      </c>
      <c r="N83" s="38" t="s">
        <v>904</v>
      </c>
      <c r="O83" s="32" t="s">
        <v>1</v>
      </c>
      <c r="P83" s="32" t="s">
        <v>898</v>
      </c>
      <c r="Q83" s="228" t="s">
        <v>1</v>
      </c>
      <c r="R83" s="229"/>
      <c r="S83" s="45">
        <v>1</v>
      </c>
    </row>
    <row r="84" spans="1:19" s="41" customFormat="1" ht="45" customHeight="1">
      <c r="A84" s="132">
        <f t="shared" si="2"/>
        <v>79</v>
      </c>
      <c r="B84" s="31" t="s">
        <v>981</v>
      </c>
      <c r="C84" s="31" t="s">
        <v>1</v>
      </c>
      <c r="D84" s="31" t="s">
        <v>819</v>
      </c>
      <c r="E84" s="31" t="s">
        <v>377</v>
      </c>
      <c r="F84" s="32" t="s">
        <v>91</v>
      </c>
      <c r="G84" s="32" t="s">
        <v>83</v>
      </c>
      <c r="H84" s="33" t="s">
        <v>340</v>
      </c>
      <c r="I84" s="33" t="s">
        <v>92</v>
      </c>
      <c r="J84" s="34" t="s">
        <v>93</v>
      </c>
      <c r="K84" s="34" t="s">
        <v>94</v>
      </c>
      <c r="L84" s="35">
        <v>1</v>
      </c>
      <c r="M84" s="34" t="s">
        <v>65</v>
      </c>
      <c r="N84" s="38" t="s">
        <v>904</v>
      </c>
      <c r="O84" s="32" t="s">
        <v>1</v>
      </c>
      <c r="P84" s="32" t="s">
        <v>898</v>
      </c>
      <c r="Q84" s="228" t="s">
        <v>1</v>
      </c>
      <c r="R84" s="229"/>
      <c r="S84" s="45">
        <v>1</v>
      </c>
    </row>
    <row r="85" spans="1:19" s="41" customFormat="1" ht="45" customHeight="1">
      <c r="A85" s="132">
        <f t="shared" si="2"/>
        <v>80</v>
      </c>
      <c r="B85" s="31" t="s">
        <v>1276</v>
      </c>
      <c r="C85" s="31" t="s">
        <v>813</v>
      </c>
      <c r="D85" s="31" t="s">
        <v>822</v>
      </c>
      <c r="E85" s="31" t="s">
        <v>1268</v>
      </c>
      <c r="F85" s="32" t="s">
        <v>49</v>
      </c>
      <c r="G85" s="32" t="s">
        <v>48</v>
      </c>
      <c r="H85" s="33" t="s">
        <v>1</v>
      </c>
      <c r="I85" s="33" t="s">
        <v>1</v>
      </c>
      <c r="J85" s="34" t="s">
        <v>1051</v>
      </c>
      <c r="K85" s="34" t="s">
        <v>1136</v>
      </c>
      <c r="L85" s="35">
        <v>1</v>
      </c>
      <c r="M85" s="34" t="s">
        <v>52</v>
      </c>
      <c r="N85" s="38" t="s">
        <v>904</v>
      </c>
      <c r="O85" s="32" t="s">
        <v>1</v>
      </c>
      <c r="P85" s="32" t="s">
        <v>1</v>
      </c>
      <c r="Q85" s="269" t="s">
        <v>1</v>
      </c>
      <c r="R85" s="269"/>
      <c r="S85" s="45">
        <v>1</v>
      </c>
    </row>
    <row r="86" spans="1:19" s="41" customFormat="1" ht="45" customHeight="1">
      <c r="A86" s="132">
        <f t="shared" si="2"/>
        <v>81</v>
      </c>
      <c r="B86" s="110" t="s">
        <v>1277</v>
      </c>
      <c r="C86" s="110" t="s">
        <v>813</v>
      </c>
      <c r="D86" s="110" t="s">
        <v>822</v>
      </c>
      <c r="E86" s="110" t="s">
        <v>1267</v>
      </c>
      <c r="F86" s="108" t="s">
        <v>49</v>
      </c>
      <c r="G86" s="108" t="s">
        <v>48</v>
      </c>
      <c r="H86" s="111" t="s">
        <v>1</v>
      </c>
      <c r="I86" s="111" t="s">
        <v>1</v>
      </c>
      <c r="J86" s="106" t="s">
        <v>1079</v>
      </c>
      <c r="K86" s="106" t="s">
        <v>1136</v>
      </c>
      <c r="L86" s="107">
        <v>1</v>
      </c>
      <c r="M86" s="106" t="s">
        <v>52</v>
      </c>
      <c r="N86" s="112" t="s">
        <v>904</v>
      </c>
      <c r="O86" s="32" t="s">
        <v>1</v>
      </c>
      <c r="P86" s="32" t="s">
        <v>1</v>
      </c>
      <c r="Q86" s="228" t="s">
        <v>1</v>
      </c>
      <c r="R86" s="229"/>
      <c r="S86" s="109">
        <v>4</v>
      </c>
    </row>
    <row r="87" spans="1:19" s="41" customFormat="1" ht="45" customHeight="1">
      <c r="A87" s="132">
        <f t="shared" si="2"/>
        <v>82</v>
      </c>
      <c r="B87" s="31" t="s">
        <v>1021</v>
      </c>
      <c r="C87" s="31" t="s">
        <v>1</v>
      </c>
      <c r="D87" s="31" t="s">
        <v>1023</v>
      </c>
      <c r="E87" s="31" t="s">
        <v>66</v>
      </c>
      <c r="F87" s="32" t="s">
        <v>29</v>
      </c>
      <c r="G87" s="32" t="s">
        <v>48</v>
      </c>
      <c r="H87" s="33" t="s">
        <v>324</v>
      </c>
      <c r="I87" s="33" t="s">
        <v>325</v>
      </c>
      <c r="J87" s="34" t="s">
        <v>421</v>
      </c>
      <c r="K87" s="34" t="s">
        <v>420</v>
      </c>
      <c r="L87" s="35">
        <v>1</v>
      </c>
      <c r="M87" s="34" t="s">
        <v>65</v>
      </c>
      <c r="N87" s="38" t="s">
        <v>904</v>
      </c>
      <c r="O87" s="32" t="s">
        <v>1</v>
      </c>
      <c r="P87" s="32" t="s">
        <v>889</v>
      </c>
      <c r="Q87" s="228" t="s">
        <v>1</v>
      </c>
      <c r="R87" s="229"/>
      <c r="S87" s="45">
        <v>1</v>
      </c>
    </row>
    <row r="88" spans="1:19" s="41" customFormat="1" ht="45" customHeight="1">
      <c r="A88" s="132">
        <f t="shared" si="2"/>
        <v>83</v>
      </c>
      <c r="B88" s="31" t="s">
        <v>1022</v>
      </c>
      <c r="C88" s="31" t="s">
        <v>1</v>
      </c>
      <c r="D88" s="31" t="s">
        <v>1024</v>
      </c>
      <c r="E88" s="31" t="s">
        <v>66</v>
      </c>
      <c r="F88" s="32" t="s">
        <v>29</v>
      </c>
      <c r="G88" s="32" t="s">
        <v>48</v>
      </c>
      <c r="H88" s="33" t="s">
        <v>324</v>
      </c>
      <c r="I88" s="33" t="s">
        <v>325</v>
      </c>
      <c r="J88" s="34" t="s">
        <v>421</v>
      </c>
      <c r="K88" s="34" t="s">
        <v>420</v>
      </c>
      <c r="L88" s="35">
        <v>1</v>
      </c>
      <c r="M88" s="34" t="s">
        <v>65</v>
      </c>
      <c r="N88" s="38" t="s">
        <v>909</v>
      </c>
      <c r="O88" s="32" t="s">
        <v>1</v>
      </c>
      <c r="P88" s="32" t="s">
        <v>889</v>
      </c>
      <c r="Q88" s="228" t="s">
        <v>1</v>
      </c>
      <c r="R88" s="229"/>
      <c r="S88" s="45">
        <v>1</v>
      </c>
    </row>
    <row r="89" spans="1:19" s="41" customFormat="1" ht="45" customHeight="1">
      <c r="A89" s="132">
        <f t="shared" si="2"/>
        <v>84</v>
      </c>
      <c r="B89" s="31" t="s">
        <v>1269</v>
      </c>
      <c r="C89" s="31" t="s">
        <v>1</v>
      </c>
      <c r="D89" s="31" t="s">
        <v>1271</v>
      </c>
      <c r="E89" s="31" t="s">
        <v>64</v>
      </c>
      <c r="F89" s="32" t="s">
        <v>49</v>
      </c>
      <c r="G89" s="32" t="s">
        <v>48</v>
      </c>
      <c r="H89" s="42" t="s">
        <v>1</v>
      </c>
      <c r="I89" s="42" t="s">
        <v>1</v>
      </c>
      <c r="J89" s="34" t="s">
        <v>418</v>
      </c>
      <c r="K89" s="34" t="s">
        <v>419</v>
      </c>
      <c r="L89" s="43">
        <v>1</v>
      </c>
      <c r="M89" s="34" t="s">
        <v>65</v>
      </c>
      <c r="N89" s="38" t="s">
        <v>904</v>
      </c>
      <c r="O89" s="32" t="s">
        <v>1</v>
      </c>
      <c r="P89" s="32" t="s">
        <v>888</v>
      </c>
      <c r="Q89" s="228" t="s">
        <v>1</v>
      </c>
      <c r="R89" s="229"/>
      <c r="S89" s="45">
        <v>1</v>
      </c>
    </row>
    <row r="90" spans="1:19" s="41" customFormat="1" ht="45" customHeight="1">
      <c r="A90" s="132">
        <f t="shared" si="2"/>
        <v>85</v>
      </c>
      <c r="B90" s="31" t="s">
        <v>1270</v>
      </c>
      <c r="C90" s="31" t="s">
        <v>1</v>
      </c>
      <c r="D90" s="31" t="s">
        <v>1271</v>
      </c>
      <c r="E90" s="31" t="s">
        <v>919</v>
      </c>
      <c r="F90" s="32" t="s">
        <v>1</v>
      </c>
      <c r="G90" s="32" t="s">
        <v>1</v>
      </c>
      <c r="H90" s="42" t="s">
        <v>1</v>
      </c>
      <c r="I90" s="42" t="s">
        <v>1</v>
      </c>
      <c r="J90" s="34" t="s">
        <v>1</v>
      </c>
      <c r="K90" s="34" t="s">
        <v>404</v>
      </c>
      <c r="L90" s="43">
        <v>1</v>
      </c>
      <c r="M90" s="34" t="s">
        <v>65</v>
      </c>
      <c r="N90" s="38" t="s">
        <v>1</v>
      </c>
      <c r="O90" s="32" t="s">
        <v>407</v>
      </c>
      <c r="P90" s="32" t="s">
        <v>406</v>
      </c>
      <c r="Q90" s="228" t="s">
        <v>405</v>
      </c>
      <c r="R90" s="229"/>
      <c r="S90" s="45">
        <v>1</v>
      </c>
    </row>
    <row r="91" spans="1:19" s="41" customFormat="1" ht="45" customHeight="1">
      <c r="A91" s="132">
        <f t="shared" si="2"/>
        <v>86</v>
      </c>
      <c r="B91" s="31" t="s">
        <v>1216</v>
      </c>
      <c r="C91" s="31" t="s">
        <v>1</v>
      </c>
      <c r="D91" s="36" t="s">
        <v>1219</v>
      </c>
      <c r="E91" s="37" t="s">
        <v>74</v>
      </c>
      <c r="F91" s="38" t="s">
        <v>62</v>
      </c>
      <c r="G91" s="38" t="s">
        <v>48</v>
      </c>
      <c r="H91" s="39" t="s">
        <v>1</v>
      </c>
      <c r="I91" s="39" t="s">
        <v>1</v>
      </c>
      <c r="J91" s="32" t="s">
        <v>428</v>
      </c>
      <c r="K91" s="32" t="s">
        <v>428</v>
      </c>
      <c r="L91" s="40">
        <v>1</v>
      </c>
      <c r="M91" s="34" t="s">
        <v>65</v>
      </c>
      <c r="N91" s="32" t="s">
        <v>1</v>
      </c>
      <c r="O91" s="32" t="s">
        <v>1</v>
      </c>
      <c r="P91" s="32" t="s">
        <v>1</v>
      </c>
      <c r="Q91" s="228" t="s">
        <v>1231</v>
      </c>
      <c r="R91" s="229"/>
      <c r="S91" s="49">
        <v>1</v>
      </c>
    </row>
    <row r="92" spans="1:19" s="41" customFormat="1" ht="45" customHeight="1">
      <c r="A92" s="132">
        <f t="shared" si="2"/>
        <v>87</v>
      </c>
      <c r="B92" s="31" t="s">
        <v>1217</v>
      </c>
      <c r="C92" s="36" t="s">
        <v>1</v>
      </c>
      <c r="D92" s="36" t="s">
        <v>1219</v>
      </c>
      <c r="E92" s="31" t="s">
        <v>75</v>
      </c>
      <c r="F92" s="32" t="s">
        <v>62</v>
      </c>
      <c r="G92" s="32" t="s">
        <v>48</v>
      </c>
      <c r="H92" s="42" t="s">
        <v>1</v>
      </c>
      <c r="I92" s="42" t="s">
        <v>1</v>
      </c>
      <c r="J92" s="32" t="s">
        <v>428</v>
      </c>
      <c r="K92" s="32" t="s">
        <v>428</v>
      </c>
      <c r="L92" s="43">
        <v>1</v>
      </c>
      <c r="M92" s="34" t="s">
        <v>65</v>
      </c>
      <c r="N92" s="32" t="s">
        <v>1</v>
      </c>
      <c r="O92" s="32" t="s">
        <v>1</v>
      </c>
      <c r="P92" s="32" t="s">
        <v>1</v>
      </c>
      <c r="Q92" s="228" t="s">
        <v>1231</v>
      </c>
      <c r="R92" s="229"/>
      <c r="S92" s="45">
        <v>1</v>
      </c>
    </row>
    <row r="93" spans="1:19" s="41" customFormat="1" ht="45" customHeight="1">
      <c r="A93" s="132">
        <f t="shared" si="2"/>
        <v>88</v>
      </c>
      <c r="B93" s="31" t="s">
        <v>1215</v>
      </c>
      <c r="C93" s="31" t="s">
        <v>1</v>
      </c>
      <c r="D93" s="36" t="s">
        <v>1219</v>
      </c>
      <c r="E93" s="32" t="s">
        <v>522</v>
      </c>
      <c r="F93" s="32" t="s">
        <v>523</v>
      </c>
      <c r="G93" s="33" t="s">
        <v>48</v>
      </c>
      <c r="H93" s="33" t="s">
        <v>1</v>
      </c>
      <c r="I93" s="42" t="s">
        <v>1</v>
      </c>
      <c r="J93" s="32" t="s">
        <v>428</v>
      </c>
      <c r="K93" s="32" t="s">
        <v>428</v>
      </c>
      <c r="L93" s="43">
        <v>1</v>
      </c>
      <c r="M93" s="34" t="s">
        <v>65</v>
      </c>
      <c r="N93" s="38" t="s">
        <v>1</v>
      </c>
      <c r="O93" s="32" t="s">
        <v>1</v>
      </c>
      <c r="P93" s="32" t="s">
        <v>1</v>
      </c>
      <c r="Q93" s="228" t="s">
        <v>1231</v>
      </c>
      <c r="R93" s="229"/>
      <c r="S93" s="45">
        <v>1</v>
      </c>
    </row>
    <row r="94" spans="1:19" s="41" customFormat="1" ht="45" customHeight="1">
      <c r="A94" s="132">
        <f t="shared" si="2"/>
        <v>89</v>
      </c>
      <c r="B94" s="31" t="s">
        <v>1218</v>
      </c>
      <c r="C94" s="31" t="s">
        <v>1</v>
      </c>
      <c r="D94" s="31" t="s">
        <v>1225</v>
      </c>
      <c r="E94" s="31" t="s">
        <v>995</v>
      </c>
      <c r="F94" s="32" t="s">
        <v>29</v>
      </c>
      <c r="G94" s="32" t="s">
        <v>48</v>
      </c>
      <c r="H94" s="33" t="s">
        <v>324</v>
      </c>
      <c r="I94" s="33" t="s">
        <v>325</v>
      </c>
      <c r="J94" s="34" t="s">
        <v>421</v>
      </c>
      <c r="K94" s="34" t="s">
        <v>420</v>
      </c>
      <c r="L94" s="35">
        <v>1</v>
      </c>
      <c r="M94" s="34" t="s">
        <v>65</v>
      </c>
      <c r="N94" s="32" t="s">
        <v>910</v>
      </c>
      <c r="O94" s="32" t="s">
        <v>1</v>
      </c>
      <c r="P94" s="32" t="s">
        <v>889</v>
      </c>
      <c r="Q94" s="228" t="s">
        <v>1</v>
      </c>
      <c r="R94" s="229"/>
      <c r="S94" s="45">
        <v>1</v>
      </c>
    </row>
    <row r="95" spans="1:19" s="41" customFormat="1" ht="45" customHeight="1">
      <c r="A95" s="132">
        <f t="shared" si="2"/>
        <v>90</v>
      </c>
      <c r="B95" s="31" t="s">
        <v>1220</v>
      </c>
      <c r="C95" s="31" t="s">
        <v>1</v>
      </c>
      <c r="D95" s="31" t="s">
        <v>1226</v>
      </c>
      <c r="E95" s="31" t="s">
        <v>995</v>
      </c>
      <c r="F95" s="32" t="s">
        <v>29</v>
      </c>
      <c r="G95" s="32" t="s">
        <v>48</v>
      </c>
      <c r="H95" s="33" t="s">
        <v>324</v>
      </c>
      <c r="I95" s="33" t="s">
        <v>325</v>
      </c>
      <c r="J95" s="34" t="s">
        <v>421</v>
      </c>
      <c r="K95" s="34" t="s">
        <v>420</v>
      </c>
      <c r="L95" s="35">
        <v>1</v>
      </c>
      <c r="M95" s="34" t="s">
        <v>65</v>
      </c>
      <c r="N95" s="32" t="s">
        <v>910</v>
      </c>
      <c r="O95" s="32" t="s">
        <v>1</v>
      </c>
      <c r="P95" s="32" t="s">
        <v>889</v>
      </c>
      <c r="Q95" s="228" t="s">
        <v>1</v>
      </c>
      <c r="R95" s="229"/>
      <c r="S95" s="45">
        <v>1</v>
      </c>
    </row>
    <row r="96" spans="1:19" s="41" customFormat="1" ht="45" customHeight="1">
      <c r="A96" s="132">
        <f t="shared" si="2"/>
        <v>91</v>
      </c>
      <c r="B96" s="31" t="s">
        <v>1222</v>
      </c>
      <c r="C96" s="31" t="s">
        <v>1</v>
      </c>
      <c r="D96" s="36" t="s">
        <v>1224</v>
      </c>
      <c r="E96" s="37" t="s">
        <v>74</v>
      </c>
      <c r="F96" s="38" t="s">
        <v>62</v>
      </c>
      <c r="G96" s="38" t="s">
        <v>48</v>
      </c>
      <c r="H96" s="39" t="s">
        <v>1</v>
      </c>
      <c r="I96" s="39" t="s">
        <v>1</v>
      </c>
      <c r="J96" s="32" t="s">
        <v>428</v>
      </c>
      <c r="K96" s="32" t="s">
        <v>428</v>
      </c>
      <c r="L96" s="40">
        <v>1</v>
      </c>
      <c r="M96" s="34" t="s">
        <v>65</v>
      </c>
      <c r="N96" s="32" t="s">
        <v>1</v>
      </c>
      <c r="O96" s="32" t="s">
        <v>1</v>
      </c>
      <c r="P96" s="32" t="s">
        <v>1</v>
      </c>
      <c r="Q96" s="228" t="s">
        <v>1231</v>
      </c>
      <c r="R96" s="229"/>
      <c r="S96" s="49">
        <v>1</v>
      </c>
    </row>
    <row r="97" spans="1:19" s="41" customFormat="1" ht="45" customHeight="1">
      <c r="A97" s="132">
        <f t="shared" si="2"/>
        <v>92</v>
      </c>
      <c r="B97" s="31" t="s">
        <v>1223</v>
      </c>
      <c r="C97" s="36" t="s">
        <v>1</v>
      </c>
      <c r="D97" s="36" t="s">
        <v>1224</v>
      </c>
      <c r="E97" s="31" t="s">
        <v>75</v>
      </c>
      <c r="F97" s="32" t="s">
        <v>62</v>
      </c>
      <c r="G97" s="32" t="s">
        <v>48</v>
      </c>
      <c r="H97" s="42" t="s">
        <v>1</v>
      </c>
      <c r="I97" s="42" t="s">
        <v>1</v>
      </c>
      <c r="J97" s="32" t="s">
        <v>428</v>
      </c>
      <c r="K97" s="32" t="s">
        <v>428</v>
      </c>
      <c r="L97" s="43">
        <v>1</v>
      </c>
      <c r="M97" s="34" t="s">
        <v>65</v>
      </c>
      <c r="N97" s="32" t="s">
        <v>1</v>
      </c>
      <c r="O97" s="32" t="s">
        <v>1</v>
      </c>
      <c r="P97" s="32" t="s">
        <v>1</v>
      </c>
      <c r="Q97" s="228" t="s">
        <v>1231</v>
      </c>
      <c r="R97" s="229"/>
      <c r="S97" s="45">
        <v>1</v>
      </c>
    </row>
    <row r="98" spans="1:19" s="41" customFormat="1" ht="45" customHeight="1">
      <c r="A98" s="132">
        <f t="shared" si="2"/>
        <v>93</v>
      </c>
      <c r="B98" s="31" t="s">
        <v>1221</v>
      </c>
      <c r="C98" s="31" t="s">
        <v>1</v>
      </c>
      <c r="D98" s="36" t="s">
        <v>1224</v>
      </c>
      <c r="E98" s="32" t="s">
        <v>522</v>
      </c>
      <c r="F98" s="32" t="s">
        <v>523</v>
      </c>
      <c r="G98" s="33" t="s">
        <v>48</v>
      </c>
      <c r="H98" s="33" t="s">
        <v>1</v>
      </c>
      <c r="I98" s="42" t="s">
        <v>1</v>
      </c>
      <c r="J98" s="32" t="s">
        <v>428</v>
      </c>
      <c r="K98" s="32" t="s">
        <v>428</v>
      </c>
      <c r="L98" s="43">
        <v>1</v>
      </c>
      <c r="M98" s="34" t="s">
        <v>65</v>
      </c>
      <c r="N98" s="38" t="s">
        <v>1</v>
      </c>
      <c r="O98" s="32" t="s">
        <v>1</v>
      </c>
      <c r="P98" s="32" t="s">
        <v>1</v>
      </c>
      <c r="Q98" s="228" t="s">
        <v>1231</v>
      </c>
      <c r="R98" s="229"/>
      <c r="S98" s="45">
        <v>1</v>
      </c>
    </row>
    <row r="99" spans="1:19" s="41" customFormat="1" ht="45" customHeight="1">
      <c r="A99" s="132">
        <f t="shared" si="2"/>
        <v>94</v>
      </c>
      <c r="B99" s="31" t="s">
        <v>1227</v>
      </c>
      <c r="C99" s="31" t="s">
        <v>1</v>
      </c>
      <c r="D99" s="31" t="s">
        <v>1230</v>
      </c>
      <c r="E99" s="31" t="s">
        <v>995</v>
      </c>
      <c r="F99" s="32" t="s">
        <v>29</v>
      </c>
      <c r="G99" s="32" t="s">
        <v>48</v>
      </c>
      <c r="H99" s="33" t="s">
        <v>324</v>
      </c>
      <c r="I99" s="33" t="s">
        <v>325</v>
      </c>
      <c r="J99" s="34" t="s">
        <v>421</v>
      </c>
      <c r="K99" s="34" t="s">
        <v>420</v>
      </c>
      <c r="L99" s="35">
        <v>1</v>
      </c>
      <c r="M99" s="34" t="s">
        <v>65</v>
      </c>
      <c r="N99" s="32" t="s">
        <v>910</v>
      </c>
      <c r="O99" s="32" t="s">
        <v>1</v>
      </c>
      <c r="P99" s="32" t="s">
        <v>889</v>
      </c>
      <c r="Q99" s="228" t="s">
        <v>1</v>
      </c>
      <c r="R99" s="229"/>
      <c r="S99" s="45">
        <v>1</v>
      </c>
    </row>
    <row r="100" spans="1:19" s="41" customFormat="1" ht="45" customHeight="1" thickBot="1">
      <c r="A100" s="132">
        <f t="shared" si="2"/>
        <v>95</v>
      </c>
      <c r="B100" s="50" t="s">
        <v>1228</v>
      </c>
      <c r="C100" s="50" t="s">
        <v>1</v>
      </c>
      <c r="D100" s="50" t="s">
        <v>1229</v>
      </c>
      <c r="E100" s="50" t="s">
        <v>995</v>
      </c>
      <c r="F100" s="51" t="s">
        <v>29</v>
      </c>
      <c r="G100" s="51" t="s">
        <v>48</v>
      </c>
      <c r="H100" s="52" t="s">
        <v>324</v>
      </c>
      <c r="I100" s="52" t="s">
        <v>325</v>
      </c>
      <c r="J100" s="53" t="s">
        <v>421</v>
      </c>
      <c r="K100" s="53" t="s">
        <v>420</v>
      </c>
      <c r="L100" s="54">
        <v>1</v>
      </c>
      <c r="M100" s="53" t="s">
        <v>65</v>
      </c>
      <c r="N100" s="51" t="s">
        <v>910</v>
      </c>
      <c r="O100" s="51" t="s">
        <v>1</v>
      </c>
      <c r="P100" s="51" t="s">
        <v>889</v>
      </c>
      <c r="Q100" s="230" t="s">
        <v>1</v>
      </c>
      <c r="R100" s="231"/>
      <c r="S100" s="55">
        <v>1</v>
      </c>
    </row>
  </sheetData>
  <autoFilter ref="A5:S100" xr:uid="{8B175672-BEA2-4B2E-88DE-EBAB2E84C7BB}">
    <filterColumn colId="16" showButton="0"/>
  </autoFilter>
  <sortState xmlns:xlrd2="http://schemas.microsoft.com/office/spreadsheetml/2017/richdata2" ref="A6:S90">
    <sortCondition ref="B6:B90"/>
  </sortState>
  <mergeCells count="138">
    <mergeCell ref="A1:D4"/>
    <mergeCell ref="E1:G4"/>
    <mergeCell ref="H1:H2"/>
    <mergeCell ref="I1:L2"/>
    <mergeCell ref="M1:M2"/>
    <mergeCell ref="Q27:R27"/>
    <mergeCell ref="Q28:R28"/>
    <mergeCell ref="Q12:R12"/>
    <mergeCell ref="Q17:R17"/>
    <mergeCell ref="Q10:R10"/>
    <mergeCell ref="Q24:R24"/>
    <mergeCell ref="Q21:R21"/>
    <mergeCell ref="Q19:R19"/>
    <mergeCell ref="R1:S1"/>
    <mergeCell ref="R2:S2"/>
    <mergeCell ref="H3:H4"/>
    <mergeCell ref="I3:L4"/>
    <mergeCell ref="Q86:R86"/>
    <mergeCell ref="Q76:R76"/>
    <mergeCell ref="Q83:R83"/>
    <mergeCell ref="Q35:R35"/>
    <mergeCell ref="Q43:R43"/>
    <mergeCell ref="Q72:R72"/>
    <mergeCell ref="Q84:R84"/>
    <mergeCell ref="Q66:R66"/>
    <mergeCell ref="Q36:R36"/>
    <mergeCell ref="Q44:R44"/>
    <mergeCell ref="Q52:R52"/>
    <mergeCell ref="Q75:R75"/>
    <mergeCell ref="Q78:R78"/>
    <mergeCell ref="Q79:R79"/>
    <mergeCell ref="Q82:R82"/>
    <mergeCell ref="Q77:R77"/>
    <mergeCell ref="Q80:R80"/>
    <mergeCell ref="Q81:R81"/>
    <mergeCell ref="Q67:R67"/>
    <mergeCell ref="Q85:R85"/>
    <mergeCell ref="Q60:R60"/>
    <mergeCell ref="Q65:R65"/>
    <mergeCell ref="Q69:R69"/>
    <mergeCell ref="Q59:R59"/>
    <mergeCell ref="Q32:R32"/>
    <mergeCell ref="Q25:R25"/>
    <mergeCell ref="N3:P3"/>
    <mergeCell ref="N4:P4"/>
    <mergeCell ref="N1:P2"/>
    <mergeCell ref="Q30:R30"/>
    <mergeCell ref="Q31:R31"/>
    <mergeCell ref="Q5:R5"/>
    <mergeCell ref="Q6:R6"/>
    <mergeCell ref="Q7:R7"/>
    <mergeCell ref="Q18:R18"/>
    <mergeCell ref="Q29:R29"/>
    <mergeCell ref="Q22:R22"/>
    <mergeCell ref="Q23:R23"/>
    <mergeCell ref="Q14:R14"/>
    <mergeCell ref="Q15:R15"/>
    <mergeCell ref="Q11:R11"/>
    <mergeCell ref="Q13:R13"/>
    <mergeCell ref="Q16:R16"/>
    <mergeCell ref="Q8:R8"/>
    <mergeCell ref="Q9:R9"/>
    <mergeCell ref="Q20:R20"/>
    <mergeCell ref="Q26:R26"/>
    <mergeCell ref="J53:J54"/>
    <mergeCell ref="K53:K54"/>
    <mergeCell ref="L53:L54"/>
    <mergeCell ref="M53:M54"/>
    <mergeCell ref="N53:N54"/>
    <mergeCell ref="J49:J50"/>
    <mergeCell ref="K49:K50"/>
    <mergeCell ref="L49:L50"/>
    <mergeCell ref="M49:M50"/>
    <mergeCell ref="N49:N50"/>
    <mergeCell ref="J41:J42"/>
    <mergeCell ref="K41:K42"/>
    <mergeCell ref="L41:L42"/>
    <mergeCell ref="M41:M42"/>
    <mergeCell ref="N41:N42"/>
    <mergeCell ref="Q48:R48"/>
    <mergeCell ref="Q47:R47"/>
    <mergeCell ref="J45:J46"/>
    <mergeCell ref="K45:K46"/>
    <mergeCell ref="L45:L46"/>
    <mergeCell ref="M45:M46"/>
    <mergeCell ref="N45:N46"/>
    <mergeCell ref="J37:J38"/>
    <mergeCell ref="K37:K38"/>
    <mergeCell ref="L37:L38"/>
    <mergeCell ref="M37:M38"/>
    <mergeCell ref="N37:N38"/>
    <mergeCell ref="J33:J34"/>
    <mergeCell ref="K33:K34"/>
    <mergeCell ref="L33:L34"/>
    <mergeCell ref="M33:M34"/>
    <mergeCell ref="N33:N34"/>
    <mergeCell ref="Q96:R96"/>
    <mergeCell ref="Q97:R97"/>
    <mergeCell ref="Q99:R99"/>
    <mergeCell ref="Q100:R100"/>
    <mergeCell ref="Q70:R70"/>
    <mergeCell ref="Q61:R61"/>
    <mergeCell ref="Q57:R57"/>
    <mergeCell ref="Q58:R58"/>
    <mergeCell ref="Q55:R55"/>
    <mergeCell ref="Q56:R56"/>
    <mergeCell ref="Q89:R89"/>
    <mergeCell ref="Q90:R90"/>
    <mergeCell ref="Q73:R73"/>
    <mergeCell ref="Q98:R98"/>
    <mergeCell ref="Q93:R93"/>
    <mergeCell ref="Q94:R94"/>
    <mergeCell ref="Q91:R91"/>
    <mergeCell ref="Q92:R92"/>
    <mergeCell ref="Q95:R95"/>
    <mergeCell ref="Q87:R87"/>
    <mergeCell ref="Q88:R88"/>
    <mergeCell ref="Q63:R63"/>
    <mergeCell ref="Q64:R64"/>
    <mergeCell ref="Q71:R71"/>
    <mergeCell ref="Q74:R74"/>
    <mergeCell ref="Q68:R68"/>
    <mergeCell ref="Q33:R33"/>
    <mergeCell ref="Q34:R34"/>
    <mergeCell ref="Q37:R37"/>
    <mergeCell ref="Q38:R38"/>
    <mergeCell ref="Q41:R41"/>
    <mergeCell ref="Q42:R42"/>
    <mergeCell ref="Q45:R45"/>
    <mergeCell ref="Q46:R46"/>
    <mergeCell ref="Q49:R49"/>
    <mergeCell ref="Q50:R50"/>
    <mergeCell ref="Q53:R53"/>
    <mergeCell ref="Q54:R54"/>
    <mergeCell ref="Q40:R40"/>
    <mergeCell ref="Q39:R39"/>
    <mergeCell ref="Q51:R51"/>
    <mergeCell ref="Q62:R62"/>
  </mergeCells>
  <phoneticPr fontId="10" type="noConversion"/>
  <conditionalFormatting sqref="B6:B7 B10 B61 B63:B64 B66:B67 B71:B100 B12:B58">
    <cfRule type="duplicateValues" dxfId="8" priority="9"/>
  </conditionalFormatting>
  <conditionalFormatting sqref="B8:B9">
    <cfRule type="duplicateValues" dxfId="7" priority="8"/>
  </conditionalFormatting>
  <conditionalFormatting sqref="B11">
    <cfRule type="duplicateValues" dxfId="6" priority="7"/>
  </conditionalFormatting>
  <conditionalFormatting sqref="B59:B60">
    <cfRule type="duplicateValues" dxfId="5" priority="6"/>
  </conditionalFormatting>
  <conditionalFormatting sqref="B62">
    <cfRule type="duplicateValues" dxfId="4" priority="5"/>
  </conditionalFormatting>
  <conditionalFormatting sqref="B65">
    <cfRule type="duplicateValues" dxfId="3" priority="4"/>
  </conditionalFormatting>
  <conditionalFormatting sqref="B68:B69">
    <cfRule type="duplicateValues" dxfId="2" priority="3"/>
  </conditionalFormatting>
  <conditionalFormatting sqref="B70">
    <cfRule type="duplicateValues" dxfId="1" priority="2"/>
  </conditionalFormatting>
  <conditionalFormatting sqref="B101:B1048576 B1:B5">
    <cfRule type="duplicateValues" dxfId="0" priority="54"/>
  </conditionalFormatting>
  <printOptions horizontalCentered="1"/>
  <pageMargins left="0.51181102362204722" right="0.51181102362204722" top="0.39370078740157483" bottom="0.39370078740157483" header="0.31496062992125984" footer="0.31496062992125984"/>
  <pageSetup paperSize="9" scale="20" fitToHeight="0" orientation="landscape" r:id="rId1"/>
  <headerFooter>
    <oddHeader xml:space="preserve">&amp;R&amp;K00+000
&amp;"Arial,Negrito"&amp;12&amp;K000000&amp;P de &amp;K000000&amp;N&amp;"Arial,Normal"&amp;10      &amp;K00+000                                                                                                                                        .      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AB7C6A1CDA3A4F8D8A1F3F80197945" ma:contentTypeVersion="12" ma:contentTypeDescription="Crie um novo documento." ma:contentTypeScope="" ma:versionID="c237eb6a27ae465a47ad7f9cb60baf7e">
  <xsd:schema xmlns:xsd="http://www.w3.org/2001/XMLSchema" xmlns:xs="http://www.w3.org/2001/XMLSchema" xmlns:p="http://schemas.microsoft.com/office/2006/metadata/properties" xmlns:ns2="463d1430-d308-42fc-9bc1-f7175ff835d7" xmlns:ns3="868d095f-dedc-4a15-8368-643706d28ab0" targetNamespace="http://schemas.microsoft.com/office/2006/metadata/properties" ma:root="true" ma:fieldsID="5740a94c8bb79043cb997d0790ff42d7" ns2:_="" ns3:_="">
    <xsd:import namespace="463d1430-d308-42fc-9bc1-f7175ff835d7"/>
    <xsd:import namespace="868d095f-dedc-4a15-8368-643706d28a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d1430-d308-42fc-9bc1-f7175ff835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d095f-dedc-4a15-8368-643706d28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728762-DEC4-44E5-8FB8-0955D9A5E0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8B4D97-156E-4AF3-8C76-02E8B7DE5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d1430-d308-42fc-9bc1-f7175ff835d7"/>
    <ds:schemaRef ds:uri="868d095f-dedc-4a15-8368-643706d28a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65EB86-12CC-4EA5-B5F9-9AB541C6E03D}">
  <ds:schemaRefs>
    <ds:schemaRef ds:uri="http://schemas.microsoft.com/office/2006/documentManagement/types"/>
    <ds:schemaRef ds:uri="http://purl.org/dc/elements/1.1/"/>
    <ds:schemaRef ds:uri="http://purl.org/dc/dcmitype/"/>
    <ds:schemaRef ds:uri="868d095f-dedc-4a15-8368-643706d28ab0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63d1430-d308-42fc-9bc1-f7175ff835d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CAPA</vt:lpstr>
      <vt:lpstr>ADITIVOS</vt:lpstr>
      <vt:lpstr>MOAGEM DE CIMENTO</vt:lpstr>
      <vt:lpstr>TRANSPORTE</vt:lpstr>
      <vt:lpstr>ADITIVOS!Area_de_impressao</vt:lpstr>
      <vt:lpstr>'MOAGEM DE CIMENTO'!Area_de_impressao</vt:lpstr>
      <vt:lpstr>TRANSPORTE!Area_de_impressao</vt:lpstr>
      <vt:lpstr>ADITIVOS!Titulos_de_impressao</vt:lpstr>
      <vt:lpstr>'MOAGEM DE CIMENTO'!Titulos_de_impressao</vt:lpstr>
      <vt:lpstr>TRANSPORTE!Titulos_de_impressao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INSTRUMENTOS</dc:title>
  <dc:creator>Joyce Kelly Alves Pereira</dc:creator>
  <cp:keywords>CS-E-V4000-104</cp:keywords>
  <cp:lastModifiedBy>Joyce Kelly Alves Pereira</cp:lastModifiedBy>
  <cp:lastPrinted>2025-01-17T13:33:48Z</cp:lastPrinted>
  <dcterms:created xsi:type="dcterms:W3CDTF">2014-11-14T16:57:58Z</dcterms:created>
  <dcterms:modified xsi:type="dcterms:W3CDTF">2025-10-16T19:27:04Z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0x010100F0AB7C6A1CDA3A4F8D8A1F3F80197945</vt:lpwstr>
  </property>
  <property fmtid="{D5CDD505-2E9C-101B-9397-08002B2CF9AE}" pid="3" name="Order">
    <vt:r8>486600</vt:r8>
  </property>
</Properties>
</file>